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Advisor\Documents of Ecoadvisor\"/>
    </mc:Choice>
  </mc:AlternateContent>
  <xr:revisionPtr revIDLastSave="0" documentId="13_ncr:1_{4BC48175-EFFC-4399-B928-5A504F1B7EEA}" xr6:coauthVersionLast="47" xr6:coauthVersionMax="47" xr10:uidLastSave="{00000000-0000-0000-0000-000000000000}"/>
  <bookViews>
    <workbookView xWindow="-120" yWindow="-120" windowWidth="29040" windowHeight="15720" xr2:uid="{B807456F-BA60-4D11-95A1-39EEA74CB339}"/>
  </bookViews>
  <sheets>
    <sheet name="Optimal Setup" sheetId="2" r:id="rId1"/>
    <sheet name="Load Demands" sheetId="5" r:id="rId2"/>
    <sheet name="SFO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I10" i="2"/>
  <c r="O7" i="2"/>
  <c r="E5" i="5"/>
  <c r="K4" i="5"/>
  <c r="E9" i="5"/>
  <c r="G9" i="5" s="1"/>
  <c r="H9" i="5" s="1"/>
  <c r="E8" i="5"/>
  <c r="G8" i="5" s="1"/>
  <c r="H8" i="5" s="1"/>
  <c r="E7" i="5"/>
  <c r="G7" i="5" s="1"/>
  <c r="H7" i="5" s="1"/>
  <c r="E6" i="5"/>
  <c r="G6" i="5" s="1"/>
  <c r="D7" i="5"/>
  <c r="D5" i="5"/>
  <c r="D6" i="5"/>
  <c r="H6" i="5" l="1"/>
  <c r="G5" i="5"/>
  <c r="H5" i="5" s="1"/>
  <c r="E22" i="4"/>
  <c r="B22" i="4"/>
  <c r="K6" i="4"/>
  <c r="H6" i="4"/>
  <c r="E6" i="4"/>
  <c r="B6" i="4"/>
  <c r="G12" i="2"/>
  <c r="F12" i="2"/>
  <c r="E12" i="2"/>
  <c r="D12" i="2"/>
  <c r="G14" i="2"/>
  <c r="F14" i="2"/>
  <c r="E14" i="2"/>
  <c r="D14" i="2"/>
  <c r="C14" i="2"/>
  <c r="B14" i="2"/>
  <c r="H13" i="2"/>
  <c r="P18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S38" i="2" s="1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S23" i="2" s="1"/>
  <c r="P22" i="2"/>
  <c r="S22" i="2" s="1"/>
  <c r="P21" i="2"/>
  <c r="P20" i="2"/>
  <c r="P19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H11" i="2"/>
  <c r="H10" i="2"/>
  <c r="C12" i="2"/>
  <c r="B12" i="2"/>
  <c r="H16" i="4"/>
  <c r="E32" i="4"/>
  <c r="B32" i="4"/>
  <c r="K16" i="4"/>
  <c r="E16" i="4"/>
  <c r="B16" i="4"/>
  <c r="J18" i="2"/>
  <c r="I5" i="5" l="1"/>
  <c r="H14" i="2"/>
  <c r="L5" i="5" l="1"/>
  <c r="R2" i="2" s="1"/>
  <c r="J5" i="5"/>
  <c r="Q2" i="2" s="1"/>
  <c r="K5" i="5"/>
  <c r="I6" i="5" s="1"/>
  <c r="J6" i="5" l="1"/>
  <c r="Q3" i="2" s="1"/>
  <c r="L6" i="5"/>
  <c r="R3" i="2" s="1"/>
  <c r="K6" i="5"/>
  <c r="I7" i="5" s="1"/>
  <c r="L7" i="5" l="1"/>
  <c r="R4" i="2" s="1"/>
  <c r="J7" i="5"/>
  <c r="Q4" i="2" s="1"/>
  <c r="K7" i="5"/>
  <c r="I8" i="5" l="1"/>
  <c r="L8" i="5" s="1"/>
  <c r="R5" i="2" s="1"/>
  <c r="J8" i="5" l="1"/>
  <c r="Q5" i="2" s="1"/>
  <c r="K8" i="5"/>
  <c r="I9" i="5" s="1"/>
  <c r="L9" i="5" l="1"/>
  <c r="J9" i="5"/>
  <c r="Q6" i="2" s="1"/>
  <c r="K9" i="5"/>
  <c r="K10" i="5" s="1"/>
  <c r="J10" i="5" l="1"/>
  <c r="Q7" i="2"/>
  <c r="L10" i="5"/>
  <c r="R6" i="2"/>
  <c r="R7" i="2" s="1"/>
  <c r="I10" i="5"/>
  <c r="R8" i="2" l="1"/>
  <c r="I30" i="2" s="1"/>
  <c r="L30" i="2" s="1"/>
  <c r="M30" i="2" s="1"/>
  <c r="Q30" i="2" s="1"/>
  <c r="R30" i="2" s="1"/>
  <c r="S30" i="2" s="1"/>
  <c r="I52" i="2" l="1"/>
  <c r="L52" i="2" s="1"/>
  <c r="M52" i="2" s="1"/>
  <c r="Q52" i="2" s="1"/>
  <c r="I42" i="2"/>
  <c r="L42" i="2" s="1"/>
  <c r="M42" i="2" s="1"/>
  <c r="Q42" i="2" s="1"/>
  <c r="I34" i="2"/>
  <c r="L34" i="2" s="1"/>
  <c r="M34" i="2" s="1"/>
  <c r="Q34" i="2" s="1"/>
  <c r="I65" i="2"/>
  <c r="L65" i="2" s="1"/>
  <c r="M65" i="2" s="1"/>
  <c r="Q65" i="2" s="1"/>
  <c r="I21" i="2"/>
  <c r="L21" i="2" s="1"/>
  <c r="M21" i="2" s="1"/>
  <c r="Q21" i="2" s="1"/>
  <c r="I71" i="2"/>
  <c r="L71" i="2" s="1"/>
  <c r="M71" i="2" s="1"/>
  <c r="Q71" i="2" s="1"/>
  <c r="I51" i="2"/>
  <c r="L51" i="2" s="1"/>
  <c r="M51" i="2" s="1"/>
  <c r="Q51" i="2" s="1"/>
  <c r="I39" i="2"/>
  <c r="L39" i="2" s="1"/>
  <c r="M39" i="2" s="1"/>
  <c r="Q39" i="2" s="1"/>
  <c r="I70" i="2"/>
  <c r="L70" i="2" s="1"/>
  <c r="M70" i="2" s="1"/>
  <c r="Q70" i="2" s="1"/>
  <c r="R70" i="2" s="1"/>
  <c r="S70" i="2" s="1"/>
  <c r="I64" i="2"/>
  <c r="L64" i="2" s="1"/>
  <c r="M64" i="2" s="1"/>
  <c r="Q64" i="2" s="1"/>
  <c r="I57" i="2"/>
  <c r="L57" i="2" s="1"/>
  <c r="M57" i="2" s="1"/>
  <c r="Q57" i="2" s="1"/>
  <c r="I61" i="2"/>
  <c r="L61" i="2" s="1"/>
  <c r="M61" i="2" s="1"/>
  <c r="Q61" i="2" s="1"/>
  <c r="I48" i="2"/>
  <c r="L48" i="2" s="1"/>
  <c r="M48" i="2" s="1"/>
  <c r="Q48" i="2" s="1"/>
  <c r="I54" i="2"/>
  <c r="L54" i="2" s="1"/>
  <c r="M54" i="2" s="1"/>
  <c r="Q54" i="2" s="1"/>
  <c r="R54" i="2" s="1"/>
  <c r="S54" i="2" s="1"/>
  <c r="I63" i="2"/>
  <c r="L63" i="2" s="1"/>
  <c r="M63" i="2" s="1"/>
  <c r="Q63" i="2" s="1"/>
  <c r="R63" i="2" s="1"/>
  <c r="S63" i="2" s="1"/>
  <c r="I44" i="2"/>
  <c r="L44" i="2" s="1"/>
  <c r="M44" i="2" s="1"/>
  <c r="Q44" i="2" s="1"/>
  <c r="I23" i="2"/>
  <c r="L23" i="2" s="1"/>
  <c r="M23" i="2" s="1"/>
  <c r="Q23" i="2" s="1"/>
  <c r="I47" i="2"/>
  <c r="L47" i="2" s="1"/>
  <c r="M47" i="2" s="1"/>
  <c r="Q47" i="2" s="1"/>
  <c r="I46" i="2"/>
  <c r="L46" i="2" s="1"/>
  <c r="M46" i="2" s="1"/>
  <c r="Q46" i="2" s="1"/>
  <c r="I29" i="2"/>
  <c r="L29" i="2" s="1"/>
  <c r="M29" i="2" s="1"/>
  <c r="Q29" i="2" s="1"/>
  <c r="I75" i="2"/>
  <c r="L75" i="2" s="1"/>
  <c r="M75" i="2" s="1"/>
  <c r="Q75" i="2" s="1"/>
  <c r="I38" i="2"/>
  <c r="L38" i="2" s="1"/>
  <c r="M38" i="2" s="1"/>
  <c r="Q38" i="2" s="1"/>
  <c r="I69" i="2"/>
  <c r="L69" i="2" s="1"/>
  <c r="M69" i="2" s="1"/>
  <c r="Q69" i="2" s="1"/>
  <c r="I60" i="2"/>
  <c r="L60" i="2" s="1"/>
  <c r="M60" i="2" s="1"/>
  <c r="Q60" i="2" s="1"/>
  <c r="I58" i="2"/>
  <c r="L58" i="2" s="1"/>
  <c r="M58" i="2" s="1"/>
  <c r="Q58" i="2" s="1"/>
  <c r="I43" i="2"/>
  <c r="L43" i="2" s="1"/>
  <c r="M43" i="2" s="1"/>
  <c r="I41" i="2"/>
  <c r="L41" i="2" s="1"/>
  <c r="M41" i="2" s="1"/>
  <c r="Q41" i="2" s="1"/>
  <c r="I66" i="2"/>
  <c r="L66" i="2" s="1"/>
  <c r="M66" i="2" s="1"/>
  <c r="Q66" i="2" s="1"/>
  <c r="I72" i="2"/>
  <c r="L72" i="2" s="1"/>
  <c r="M72" i="2" s="1"/>
  <c r="Q72" i="2" s="1"/>
  <c r="R72" i="2" s="1"/>
  <c r="S72" i="2" s="1"/>
  <c r="I19" i="2"/>
  <c r="L19" i="2" s="1"/>
  <c r="M19" i="2" s="1"/>
  <c r="Q19" i="2" s="1"/>
  <c r="I27" i="2"/>
  <c r="L27" i="2" s="1"/>
  <c r="M27" i="2" s="1"/>
  <c r="Q27" i="2" s="1"/>
  <c r="I37" i="2"/>
  <c r="L37" i="2" s="1"/>
  <c r="M37" i="2" s="1"/>
  <c r="Q37" i="2" s="1"/>
  <c r="I74" i="2"/>
  <c r="L74" i="2" s="1"/>
  <c r="M74" i="2" s="1"/>
  <c r="Q74" i="2" s="1"/>
  <c r="I26" i="2"/>
  <c r="L26" i="2" s="1"/>
  <c r="M26" i="2" s="1"/>
  <c r="Q26" i="2" s="1"/>
  <c r="I33" i="2"/>
  <c r="L33" i="2" s="1"/>
  <c r="M33" i="2" s="1"/>
  <c r="Q33" i="2" s="1"/>
  <c r="I32" i="2"/>
  <c r="L32" i="2" s="1"/>
  <c r="M32" i="2" s="1"/>
  <c r="Q32" i="2" s="1"/>
  <c r="I53" i="2"/>
  <c r="L53" i="2" s="1"/>
  <c r="M53" i="2" s="1"/>
  <c r="Q53" i="2" s="1"/>
  <c r="I67" i="2"/>
  <c r="L67" i="2" s="1"/>
  <c r="M67" i="2" s="1"/>
  <c r="Q67" i="2" s="1"/>
  <c r="I28" i="2"/>
  <c r="L28" i="2" s="1"/>
  <c r="M28" i="2" s="1"/>
  <c r="Q28" i="2" s="1"/>
  <c r="I59" i="2"/>
  <c r="L59" i="2" s="1"/>
  <c r="M59" i="2" s="1"/>
  <c r="Q59" i="2" s="1"/>
  <c r="I25" i="2"/>
  <c r="L25" i="2" s="1"/>
  <c r="M25" i="2" s="1"/>
  <c r="Q25" i="2" s="1"/>
  <c r="I36" i="2"/>
  <c r="L36" i="2" s="1"/>
  <c r="M36" i="2" s="1"/>
  <c r="Q36" i="2" s="1"/>
  <c r="I35" i="2"/>
  <c r="L35" i="2" s="1"/>
  <c r="M35" i="2" s="1"/>
  <c r="Q35" i="2" s="1"/>
  <c r="I22" i="2"/>
  <c r="L22" i="2" s="1"/>
  <c r="M22" i="2" s="1"/>
  <c r="Q22" i="2" s="1"/>
  <c r="I50" i="2"/>
  <c r="L50" i="2" s="1"/>
  <c r="M50" i="2" s="1"/>
  <c r="Q50" i="2" s="1"/>
  <c r="I49" i="2"/>
  <c r="L49" i="2" s="1"/>
  <c r="M49" i="2" s="1"/>
  <c r="Q49" i="2" s="1"/>
  <c r="I31" i="2"/>
  <c r="L31" i="2" s="1"/>
  <c r="M31" i="2" s="1"/>
  <c r="Q31" i="2" s="1"/>
  <c r="I24" i="2"/>
  <c r="L24" i="2" s="1"/>
  <c r="M24" i="2" s="1"/>
  <c r="Q24" i="2" s="1"/>
  <c r="I68" i="2"/>
  <c r="L68" i="2" s="1"/>
  <c r="M68" i="2" s="1"/>
  <c r="Q68" i="2" s="1"/>
  <c r="I56" i="2"/>
  <c r="L56" i="2" s="1"/>
  <c r="M56" i="2" s="1"/>
  <c r="Q56" i="2" s="1"/>
  <c r="I73" i="2"/>
  <c r="L73" i="2" s="1"/>
  <c r="M73" i="2" s="1"/>
  <c r="Q73" i="2" s="1"/>
  <c r="I55" i="2"/>
  <c r="L55" i="2" s="1"/>
  <c r="M55" i="2" s="1"/>
  <c r="Q55" i="2" s="1"/>
  <c r="I18" i="2"/>
  <c r="L18" i="2" s="1"/>
  <c r="M18" i="2" s="1"/>
  <c r="Q18" i="2" s="1"/>
  <c r="I45" i="2"/>
  <c r="L45" i="2" s="1"/>
  <c r="M45" i="2" s="1"/>
  <c r="Q45" i="2" s="1"/>
  <c r="I62" i="2"/>
  <c r="L62" i="2" s="1"/>
  <c r="M62" i="2" s="1"/>
  <c r="Q62" i="2" s="1"/>
  <c r="I20" i="2"/>
  <c r="L20" i="2" s="1"/>
  <c r="M20" i="2" s="1"/>
  <c r="Q20" i="2" s="1"/>
  <c r="R20" i="2" s="1"/>
  <c r="S20" i="2" s="1"/>
  <c r="I40" i="2"/>
  <c r="L40" i="2" s="1"/>
  <c r="M40" i="2" s="1"/>
  <c r="Q40" i="2" s="1"/>
  <c r="W25" i="2"/>
  <c r="U30" i="2"/>
  <c r="W30" i="2"/>
  <c r="N30" i="2"/>
  <c r="V30" i="2" s="1"/>
  <c r="U21" i="2" l="1"/>
  <c r="N19" i="2"/>
  <c r="V19" i="2" s="1"/>
  <c r="O19" i="2" s="1"/>
  <c r="T19" i="2" s="1"/>
  <c r="U26" i="2"/>
  <c r="R25" i="2"/>
  <c r="S25" i="2" s="1"/>
  <c r="R51" i="2"/>
  <c r="S51" i="2" s="1"/>
  <c r="W58" i="2"/>
  <c r="R45" i="2"/>
  <c r="S45" i="2" s="1"/>
  <c r="U54" i="2"/>
  <c r="W54" i="2" s="1"/>
  <c r="U46" i="2"/>
  <c r="U64" i="2"/>
  <c r="W64" i="2" s="1"/>
  <c r="R42" i="2"/>
  <c r="S42" i="2" s="1"/>
  <c r="R35" i="2"/>
  <c r="S35" i="2" s="1"/>
  <c r="U25" i="2"/>
  <c r="R46" i="2"/>
  <c r="S46" i="2" s="1"/>
  <c r="U27" i="2"/>
  <c r="N18" i="2"/>
  <c r="V18" i="2" s="1"/>
  <c r="O18" i="2" s="1"/>
  <c r="T18" i="2" s="1"/>
  <c r="Y18" i="2" s="1"/>
  <c r="W21" i="2"/>
  <c r="R18" i="2"/>
  <c r="S18" i="2" s="1"/>
  <c r="U62" i="2"/>
  <c r="W62" i="2" s="1"/>
  <c r="R56" i="2"/>
  <c r="S56" i="2" s="1"/>
  <c r="R21" i="2"/>
  <c r="S21" i="2" s="1"/>
  <c r="N72" i="2"/>
  <c r="V72" i="2" s="1"/>
  <c r="U66" i="2"/>
  <c r="W66" i="2" s="1"/>
  <c r="U44" i="2"/>
  <c r="U56" i="2"/>
  <c r="W56" i="2" s="1"/>
  <c r="N65" i="2"/>
  <c r="V65" i="2" s="1"/>
  <c r="U55" i="2"/>
  <c r="W55" i="2" s="1"/>
  <c r="N42" i="2"/>
  <c r="V42" i="2" s="1"/>
  <c r="R44" i="2"/>
  <c r="S44" i="2" s="1"/>
  <c r="U59" i="2"/>
  <c r="U65" i="2"/>
  <c r="W65" i="2" s="1"/>
  <c r="R75" i="2"/>
  <c r="S75" i="2" s="1"/>
  <c r="N59" i="2"/>
  <c r="V59" i="2" s="1"/>
  <c r="N66" i="2"/>
  <c r="V66" i="2" s="1"/>
  <c r="R50" i="2"/>
  <c r="S50" i="2" s="1"/>
  <c r="N55" i="2"/>
  <c r="N54" i="2"/>
  <c r="V54" i="2" s="1"/>
  <c r="N63" i="2"/>
  <c r="V63" i="2" s="1"/>
  <c r="U48" i="2"/>
  <c r="W48" i="2"/>
  <c r="N34" i="2"/>
  <c r="V34" i="2" s="1"/>
  <c r="U35" i="2"/>
  <c r="W35" i="2" s="1"/>
  <c r="R27" i="2"/>
  <c r="S27" i="2" s="1"/>
  <c r="W24" i="2"/>
  <c r="W27" i="2"/>
  <c r="R68" i="2"/>
  <c r="S68" i="2" s="1"/>
  <c r="N36" i="2"/>
  <c r="V36" i="2" s="1"/>
  <c r="R71" i="2"/>
  <c r="S71" i="2" s="1"/>
  <c r="N20" i="2"/>
  <c r="V20" i="2" s="1"/>
  <c r="U51" i="2"/>
  <c r="W51" i="2" s="1"/>
  <c r="N58" i="2"/>
  <c r="V58" i="2" s="1"/>
  <c r="N23" i="2"/>
  <c r="N71" i="2"/>
  <c r="V71" i="2" s="1"/>
  <c r="U23" i="2"/>
  <c r="W23" i="2" s="1"/>
  <c r="N46" i="2"/>
  <c r="V46" i="2" s="1"/>
  <c r="N48" i="2"/>
  <c r="V48" i="2" s="1"/>
  <c r="R53" i="2"/>
  <c r="S53" i="2" s="1"/>
  <c r="W46" i="2"/>
  <c r="N62" i="2"/>
  <c r="V62" i="2" s="1"/>
  <c r="R47" i="2"/>
  <c r="S47" i="2" s="1"/>
  <c r="W18" i="2"/>
  <c r="U22" i="2"/>
  <c r="R52" i="2"/>
  <c r="S52" i="2" s="1"/>
  <c r="N25" i="2"/>
  <c r="V25" i="2" s="1"/>
  <c r="U47" i="2"/>
  <c r="N47" i="2"/>
  <c r="V47" i="2" s="1"/>
  <c r="R62" i="2"/>
  <c r="S62" i="2" s="1"/>
  <c r="U18" i="2"/>
  <c r="N22" i="2"/>
  <c r="N52" i="2"/>
  <c r="V52" i="2" s="1"/>
  <c r="N35" i="2"/>
  <c r="V35" i="2" s="1"/>
  <c r="N51" i="2"/>
  <c r="V51" i="2" s="1"/>
  <c r="N21" i="2"/>
  <c r="V21" i="2" s="1"/>
  <c r="N27" i="2"/>
  <c r="V27" i="2" s="1"/>
  <c r="U72" i="2"/>
  <c r="W72" i="2" s="1"/>
  <c r="W22" i="2"/>
  <c r="R60" i="2"/>
  <c r="S60" i="2" s="1"/>
  <c r="N69" i="2"/>
  <c r="V69" i="2" s="1"/>
  <c r="W20" i="2"/>
  <c r="N60" i="2"/>
  <c r="V60" i="2" s="1"/>
  <c r="N37" i="2"/>
  <c r="V37" i="2" s="1"/>
  <c r="T22" i="2"/>
  <c r="R61" i="2"/>
  <c r="S61" i="2" s="1"/>
  <c r="R29" i="2"/>
  <c r="S29" i="2" s="1"/>
  <c r="V22" i="2"/>
  <c r="U29" i="2"/>
  <c r="N29" i="2"/>
  <c r="V29" i="2" s="1"/>
  <c r="W29" i="2"/>
  <c r="O22" i="2"/>
  <c r="R57" i="2"/>
  <c r="S57" i="2" s="1"/>
  <c r="N39" i="2"/>
  <c r="V39" i="2" s="1"/>
  <c r="R33" i="2"/>
  <c r="S33" i="2" s="1"/>
  <c r="W32" i="2"/>
  <c r="U57" i="2"/>
  <c r="W57" i="2" s="1"/>
  <c r="R39" i="2"/>
  <c r="S39" i="2" s="1"/>
  <c r="N33" i="2"/>
  <c r="V33" i="2" s="1"/>
  <c r="R23" i="2"/>
  <c r="U39" i="2"/>
  <c r="U33" i="2"/>
  <c r="O23" i="2"/>
  <c r="R22" i="2"/>
  <c r="R32" i="2"/>
  <c r="S32" i="2" s="1"/>
  <c r="W39" i="2"/>
  <c r="V23" i="2"/>
  <c r="N75" i="2"/>
  <c r="V75" i="2" s="1"/>
  <c r="W28" i="2"/>
  <c r="U41" i="2"/>
  <c r="N40" i="2"/>
  <c r="V40" i="2" s="1"/>
  <c r="W41" i="2"/>
  <c r="N41" i="2"/>
  <c r="V41" i="2" s="1"/>
  <c r="U63" i="2"/>
  <c r="W63" i="2" s="1"/>
  <c r="N73" i="2"/>
  <c r="V73" i="2" s="1"/>
  <c r="R69" i="2"/>
  <c r="S69" i="2" s="1"/>
  <c r="U34" i="2"/>
  <c r="W34" i="2" s="1"/>
  <c r="W69" i="2"/>
  <c r="R34" i="2"/>
  <c r="S34" i="2" s="1"/>
  <c r="U61" i="2"/>
  <c r="U69" i="2"/>
  <c r="T38" i="2"/>
  <c r="R37" i="2"/>
  <c r="S37" i="2" s="1"/>
  <c r="T23" i="2"/>
  <c r="U75" i="2"/>
  <c r="W75" i="2" s="1"/>
  <c r="N57" i="2"/>
  <c r="V57" i="2" s="1"/>
  <c r="R74" i="2"/>
  <c r="S74" i="2" s="1"/>
  <c r="R41" i="2"/>
  <c r="S41" i="2" s="1"/>
  <c r="W33" i="2"/>
  <c r="U37" i="2"/>
  <c r="W37" i="2" s="1"/>
  <c r="W40" i="2"/>
  <c r="N38" i="2"/>
  <c r="R40" i="2"/>
  <c r="S40" i="2" s="1"/>
  <c r="N56" i="2"/>
  <c r="V56" i="2" s="1"/>
  <c r="U45" i="2"/>
  <c r="R66" i="2"/>
  <c r="S66" i="2" s="1"/>
  <c r="R48" i="2"/>
  <c r="S48" i="2" s="1"/>
  <c r="R38" i="2"/>
  <c r="N64" i="2"/>
  <c r="V64" i="2" s="1"/>
  <c r="U68" i="2"/>
  <c r="W68" i="2" s="1"/>
  <c r="U50" i="2"/>
  <c r="W50" i="2" s="1"/>
  <c r="N24" i="2"/>
  <c r="V24" i="2" s="1"/>
  <c r="O24" i="2" s="1"/>
  <c r="T24" i="2" s="1"/>
  <c r="R49" i="2"/>
  <c r="S49" i="2" s="1"/>
  <c r="W60" i="2"/>
  <c r="R64" i="2"/>
  <c r="S64" i="2" s="1"/>
  <c r="U74" i="2"/>
  <c r="W74" i="2" s="1"/>
  <c r="R59" i="2"/>
  <c r="S59" i="2" s="1"/>
  <c r="R19" i="2"/>
  <c r="S19" i="2" s="1"/>
  <c r="N53" i="2"/>
  <c r="V53" i="2" s="1"/>
  <c r="W61" i="2"/>
  <c r="N68" i="2"/>
  <c r="V68" i="2" s="1"/>
  <c r="N50" i="2"/>
  <c r="V50" i="2" s="1"/>
  <c r="R24" i="2"/>
  <c r="S24" i="2" s="1"/>
  <c r="U49" i="2"/>
  <c r="W49" i="2" s="1"/>
  <c r="U60" i="2"/>
  <c r="N32" i="2"/>
  <c r="V32" i="2" s="1"/>
  <c r="N74" i="2"/>
  <c r="V74" i="2" s="1"/>
  <c r="U58" i="2"/>
  <c r="W19" i="2"/>
  <c r="N67" i="2"/>
  <c r="V67" i="2" s="1"/>
  <c r="U53" i="2"/>
  <c r="W53" i="2" s="1"/>
  <c r="N61" i="2"/>
  <c r="V61" i="2" s="1"/>
  <c r="U38" i="2"/>
  <c r="W38" i="2" s="1"/>
  <c r="X38" i="2" s="1"/>
  <c r="R67" i="2"/>
  <c r="S67" i="2" s="1"/>
  <c r="U42" i="2"/>
  <c r="U24" i="2"/>
  <c r="R65" i="2"/>
  <c r="S65" i="2" s="1"/>
  <c r="U32" i="2"/>
  <c r="R58" i="2"/>
  <c r="S58" i="2" s="1"/>
  <c r="U19" i="2"/>
  <c r="W26" i="2"/>
  <c r="N70" i="2"/>
  <c r="V70" i="2" s="1"/>
  <c r="W44" i="2"/>
  <c r="N26" i="2"/>
  <c r="V26" i="2" s="1"/>
  <c r="R55" i="2"/>
  <c r="S55" i="2" s="1"/>
  <c r="W42" i="2"/>
  <c r="U36" i="2"/>
  <c r="W36" i="2" s="1"/>
  <c r="U52" i="2"/>
  <c r="W52" i="2" s="1"/>
  <c r="U71" i="2"/>
  <c r="W71" i="2" s="1"/>
  <c r="W47" i="2"/>
  <c r="R26" i="2"/>
  <c r="S26" i="2" s="1"/>
  <c r="O38" i="2"/>
  <c r="U70" i="2"/>
  <c r="W70" i="2" s="1"/>
  <c r="N44" i="2"/>
  <c r="V44" i="2" s="1"/>
  <c r="V38" i="2"/>
  <c r="R28" i="2"/>
  <c r="S28" i="2" s="1"/>
  <c r="N45" i="2"/>
  <c r="V45" i="2" s="1"/>
  <c r="N28" i="2"/>
  <c r="V28" i="2" s="1"/>
  <c r="U20" i="2"/>
  <c r="W45" i="2"/>
  <c r="U28" i="2"/>
  <c r="N31" i="2"/>
  <c r="V31" i="2" s="1"/>
  <c r="U67" i="2"/>
  <c r="W67" i="2" s="1"/>
  <c r="R31" i="2"/>
  <c r="S31" i="2" s="1"/>
  <c r="U73" i="2"/>
  <c r="W73" i="2" s="1"/>
  <c r="U31" i="2"/>
  <c r="W31" i="2"/>
  <c r="R73" i="2"/>
  <c r="S73" i="2" s="1"/>
  <c r="R36" i="2"/>
  <c r="S36" i="2" s="1"/>
  <c r="N49" i="2"/>
  <c r="V49" i="2" s="1"/>
  <c r="W59" i="2"/>
  <c r="U40" i="2"/>
  <c r="Q43" i="2"/>
  <c r="R43" i="2" s="1"/>
  <c r="S43" i="2" s="1"/>
  <c r="O57" i="2"/>
  <c r="T57" i="2" s="1"/>
  <c r="O37" i="2"/>
  <c r="T37" i="2" s="1"/>
  <c r="O31" i="2"/>
  <c r="T31" i="2" s="1"/>
  <c r="O33" i="2"/>
  <c r="T33" i="2" s="1"/>
  <c r="O68" i="2"/>
  <c r="T68" i="2" s="1"/>
  <c r="O30" i="2"/>
  <c r="T30" i="2" s="1"/>
  <c r="O36" i="2"/>
  <c r="T36" i="2" s="1"/>
  <c r="O56" i="2"/>
  <c r="T56" i="2" s="1"/>
  <c r="V55" i="2"/>
  <c r="O55" i="2" s="1"/>
  <c r="T55" i="2" s="1"/>
  <c r="O35" i="2"/>
  <c r="T35" i="2" s="1"/>
  <c r="O67" i="2"/>
  <c r="T67" i="2" s="1"/>
  <c r="O66" i="2"/>
  <c r="T66" i="2" s="1"/>
  <c r="O34" i="2"/>
  <c r="T34" i="2" s="1"/>
  <c r="O32" i="2"/>
  <c r="T32" i="2" s="1"/>
  <c r="O47" i="2"/>
  <c r="T47" i="2" s="1"/>
  <c r="O46" i="2"/>
  <c r="T46" i="2" s="1"/>
  <c r="O72" i="2"/>
  <c r="T72" i="2" s="1"/>
  <c r="O44" i="2"/>
  <c r="T44" i="2" s="1"/>
  <c r="O50" i="2"/>
  <c r="T50" i="2" s="1"/>
  <c r="O54" i="2"/>
  <c r="T54" i="2" s="1"/>
  <c r="O49" i="2"/>
  <c r="T49" i="2" s="1"/>
  <c r="O74" i="2"/>
  <c r="T74" i="2" s="1"/>
  <c r="O73" i="2"/>
  <c r="T73" i="2" s="1"/>
  <c r="O71" i="2"/>
  <c r="T71" i="2" s="1"/>
  <c r="W43" i="2"/>
  <c r="U43" i="2"/>
  <c r="N43" i="2"/>
  <c r="V43" i="2" s="1"/>
  <c r="O53" i="2" l="1"/>
  <c r="T53" i="2" s="1"/>
  <c r="O52" i="2"/>
  <c r="T52" i="2" s="1"/>
  <c r="Y52" i="2" s="1"/>
  <c r="O45" i="2"/>
  <c r="T45" i="2" s="1"/>
  <c r="Y45" i="2" s="1"/>
  <c r="O48" i="2"/>
  <c r="T48" i="2" s="1"/>
  <c r="Y48" i="2" s="1"/>
  <c r="O51" i="2"/>
  <c r="T51" i="2" s="1"/>
  <c r="X51" i="2" s="1"/>
  <c r="O75" i="2"/>
  <c r="T75" i="2" s="1"/>
  <c r="Y75" i="2" s="1"/>
  <c r="O62" i="2"/>
  <c r="T62" i="2" s="1"/>
  <c r="X62" i="2" s="1"/>
  <c r="O65" i="2"/>
  <c r="T65" i="2" s="1"/>
  <c r="Y65" i="2" s="1"/>
  <c r="O60" i="2"/>
  <c r="T60" i="2" s="1"/>
  <c r="X60" i="2" s="1"/>
  <c r="O40" i="2"/>
  <c r="T40" i="2" s="1"/>
  <c r="Y40" i="2" s="1"/>
  <c r="H40" i="2" s="1"/>
  <c r="O42" i="2"/>
  <c r="T42" i="2" s="1"/>
  <c r="Y42" i="2" s="1"/>
  <c r="X22" i="2"/>
  <c r="O58" i="2"/>
  <c r="T58" i="2" s="1"/>
  <c r="Y58" i="2" s="1"/>
  <c r="O59" i="2"/>
  <c r="T59" i="2" s="1"/>
  <c r="Y59" i="2" s="1"/>
  <c r="X18" i="2"/>
  <c r="H18" i="2" s="1"/>
  <c r="AE18" i="2" s="1"/>
  <c r="X32" i="2"/>
  <c r="O21" i="2"/>
  <c r="T21" i="2" s="1"/>
  <c r="X21" i="2" s="1"/>
  <c r="H21" i="2" s="1"/>
  <c r="O41" i="2"/>
  <c r="T41" i="2" s="1"/>
  <c r="X41" i="2" s="1"/>
  <c r="O29" i="2"/>
  <c r="T29" i="2" s="1"/>
  <c r="X29" i="2" s="1"/>
  <c r="O63" i="2"/>
  <c r="T63" i="2" s="1"/>
  <c r="X63" i="2" s="1"/>
  <c r="O27" i="2"/>
  <c r="T27" i="2" s="1"/>
  <c r="X27" i="2" s="1"/>
  <c r="H27" i="2" s="1"/>
  <c r="X23" i="2"/>
  <c r="O25" i="2"/>
  <c r="T25" i="2" s="1"/>
  <c r="X25" i="2" s="1"/>
  <c r="H25" i="2" s="1"/>
  <c r="AC25" i="2" s="1"/>
  <c r="Y22" i="2"/>
  <c r="O20" i="2"/>
  <c r="T20" i="2" s="1"/>
  <c r="X20" i="2" s="1"/>
  <c r="H20" i="2" s="1"/>
  <c r="O69" i="2"/>
  <c r="T69" i="2" s="1"/>
  <c r="X69" i="2" s="1"/>
  <c r="O26" i="2"/>
  <c r="T26" i="2" s="1"/>
  <c r="Y26" i="2" s="1"/>
  <c r="O39" i="2"/>
  <c r="T39" i="2" s="1"/>
  <c r="Y39" i="2" s="1"/>
  <c r="O61" i="2"/>
  <c r="T61" i="2" s="1"/>
  <c r="X61" i="2" s="1"/>
  <c r="O64" i="2"/>
  <c r="T64" i="2" s="1"/>
  <c r="X64" i="2" s="1"/>
  <c r="O70" i="2"/>
  <c r="T70" i="2" s="1"/>
  <c r="X70" i="2" s="1"/>
  <c r="O28" i="2"/>
  <c r="T28" i="2" s="1"/>
  <c r="Y28" i="2" s="1"/>
  <c r="X66" i="2"/>
  <c r="Y31" i="2"/>
  <c r="Y33" i="2"/>
  <c r="Y32" i="2"/>
  <c r="Y55" i="2"/>
  <c r="Y53" i="2"/>
  <c r="Y46" i="2"/>
  <c r="Y57" i="2"/>
  <c r="Y36" i="2"/>
  <c r="Y49" i="2"/>
  <c r="X30" i="2"/>
  <c r="Y30" i="2"/>
  <c r="Y50" i="2"/>
  <c r="X24" i="2"/>
  <c r="Y24" i="2"/>
  <c r="Y66" i="2"/>
  <c r="Y68" i="2"/>
  <c r="X19" i="2"/>
  <c r="Y19" i="2"/>
  <c r="X44" i="2"/>
  <c r="Y44" i="2"/>
  <c r="Y67" i="2"/>
  <c r="Y74" i="2"/>
  <c r="X48" i="2"/>
  <c r="X47" i="2"/>
  <c r="Y47" i="2"/>
  <c r="Y73" i="2"/>
  <c r="X35" i="2"/>
  <c r="Y35" i="2"/>
  <c r="Y72" i="2"/>
  <c r="X56" i="2"/>
  <c r="Y56" i="2"/>
  <c r="Y23" i="2"/>
  <c r="Y71" i="2"/>
  <c r="Y54" i="2"/>
  <c r="Y34" i="2"/>
  <c r="Y37" i="2"/>
  <c r="Y38" i="2"/>
  <c r="H38" i="2" s="1"/>
  <c r="X72" i="2"/>
  <c r="X74" i="2"/>
  <c r="X34" i="2"/>
  <c r="X73" i="2"/>
  <c r="X37" i="2"/>
  <c r="X50" i="2"/>
  <c r="X75" i="2"/>
  <c r="X31" i="2"/>
  <c r="X46" i="2"/>
  <c r="X71" i="2"/>
  <c r="X36" i="2"/>
  <c r="X54" i="2"/>
  <c r="X68" i="2"/>
  <c r="X53" i="2"/>
  <c r="X67" i="2"/>
  <c r="X33" i="2"/>
  <c r="X49" i="2"/>
  <c r="X57" i="2"/>
  <c r="X55" i="2"/>
  <c r="O43" i="2"/>
  <c r="T43" i="2" s="1"/>
  <c r="Y51" i="2" l="1"/>
  <c r="X52" i="2"/>
  <c r="X45" i="2"/>
  <c r="H22" i="2"/>
  <c r="AA22" i="2" s="1"/>
  <c r="X65" i="2"/>
  <c r="H65" i="2" s="1"/>
  <c r="AA65" i="2" s="1"/>
  <c r="X59" i="2"/>
  <c r="H59" i="2" s="1"/>
  <c r="AA59" i="2" s="1"/>
  <c r="Y62" i="2"/>
  <c r="H62" i="2" s="1"/>
  <c r="AA62" i="2" s="1"/>
  <c r="Y60" i="2"/>
  <c r="H60" i="2" s="1"/>
  <c r="AA60" i="2" s="1"/>
  <c r="X42" i="2"/>
  <c r="Y21" i="2"/>
  <c r="X58" i="2"/>
  <c r="H58" i="2" s="1"/>
  <c r="AE58" i="2" s="1"/>
  <c r="Y41" i="2"/>
  <c r="X40" i="2"/>
  <c r="Y25" i="2"/>
  <c r="Y29" i="2"/>
  <c r="H23" i="2"/>
  <c r="AC23" i="2" s="1"/>
  <c r="H32" i="2"/>
  <c r="AE32" i="2" s="1"/>
  <c r="Y27" i="2"/>
  <c r="Y69" i="2"/>
  <c r="H69" i="2" s="1"/>
  <c r="AD69" i="2" s="1"/>
  <c r="AA18" i="2"/>
  <c r="X26" i="2"/>
  <c r="H26" i="2" s="1"/>
  <c r="AD26" i="2" s="1"/>
  <c r="Y20" i="2"/>
  <c r="AC18" i="2"/>
  <c r="Z18" i="2"/>
  <c r="AD18" i="2"/>
  <c r="AB18" i="2"/>
  <c r="Y70" i="2"/>
  <c r="H70" i="2" s="1"/>
  <c r="AB70" i="2" s="1"/>
  <c r="Y63" i="2"/>
  <c r="H63" i="2" s="1"/>
  <c r="AA63" i="2" s="1"/>
  <c r="X28" i="2"/>
  <c r="Y61" i="2"/>
  <c r="H61" i="2" s="1"/>
  <c r="AC61" i="2" s="1"/>
  <c r="X39" i="2"/>
  <c r="H31" i="2"/>
  <c r="Z31" i="2" s="1"/>
  <c r="Y64" i="2"/>
  <c r="H64" i="2" s="1"/>
  <c r="AD64" i="2" s="1"/>
  <c r="H33" i="2"/>
  <c r="AC33" i="2" s="1"/>
  <c r="H36" i="2"/>
  <c r="AD36" i="2" s="1"/>
  <c r="H68" i="2"/>
  <c r="AE68" i="2" s="1"/>
  <c r="H57" i="2"/>
  <c r="AB57" i="2" s="1"/>
  <c r="H56" i="2"/>
  <c r="AE56" i="2" s="1"/>
  <c r="H42" i="2"/>
  <c r="AC42" i="2" s="1"/>
  <c r="H66" i="2"/>
  <c r="AB66" i="2" s="1"/>
  <c r="H35" i="2"/>
  <c r="AB35" i="2" s="1"/>
  <c r="H19" i="2"/>
  <c r="AC19" i="2" s="1"/>
  <c r="AA20" i="2"/>
  <c r="Z20" i="2"/>
  <c r="AE20" i="2"/>
  <c r="AD20" i="2"/>
  <c r="AB20" i="2"/>
  <c r="AC20" i="2"/>
  <c r="Z21" i="2"/>
  <c r="AE21" i="2"/>
  <c r="AA21" i="2"/>
  <c r="AC21" i="2"/>
  <c r="AB21" i="2"/>
  <c r="AD21" i="2"/>
  <c r="H50" i="2"/>
  <c r="Z50" i="2" s="1"/>
  <c r="H72" i="2"/>
  <c r="AC72" i="2" s="1"/>
  <c r="H39" i="2"/>
  <c r="Z39" i="2" s="1"/>
  <c r="H24" i="2"/>
  <c r="AC24" i="2" s="1"/>
  <c r="H46" i="2"/>
  <c r="Z46" i="2" s="1"/>
  <c r="H41" i="2"/>
  <c r="AE41" i="2" s="1"/>
  <c r="H45" i="2"/>
  <c r="AB45" i="2" s="1"/>
  <c r="H28" i="2"/>
  <c r="AA28" i="2" s="1"/>
  <c r="H30" i="2"/>
  <c r="AC30" i="2" s="1"/>
  <c r="H49" i="2"/>
  <c r="AC49" i="2" s="1"/>
  <c r="H34" i="2"/>
  <c r="AB34" i="2" s="1"/>
  <c r="H37" i="2"/>
  <c r="AA37" i="2" s="1"/>
  <c r="H54" i="2"/>
  <c r="AB54" i="2" s="1"/>
  <c r="H67" i="2"/>
  <c r="AE67" i="2" s="1"/>
  <c r="H75" i="2"/>
  <c r="AE75" i="2" s="1"/>
  <c r="H29" i="2"/>
  <c r="AD29" i="2" s="1"/>
  <c r="AB38" i="2"/>
  <c r="AE38" i="2"/>
  <c r="AC38" i="2"/>
  <c r="Z38" i="2"/>
  <c r="AD38" i="2"/>
  <c r="AA38" i="2"/>
  <c r="H53" i="2"/>
  <c r="AE53" i="2" s="1"/>
  <c r="H47" i="2"/>
  <c r="AC47" i="2" s="1"/>
  <c r="H44" i="2"/>
  <c r="AD44" i="2" s="1"/>
  <c r="H52" i="2"/>
  <c r="AE52" i="2" s="1"/>
  <c r="H73" i="2"/>
  <c r="AD73" i="2" s="1"/>
  <c r="H51" i="2"/>
  <c r="AD51" i="2" s="1"/>
  <c r="H55" i="2"/>
  <c r="Z55" i="2" s="1"/>
  <c r="H48" i="2"/>
  <c r="AE48" i="2" s="1"/>
  <c r="H71" i="2"/>
  <c r="AA71" i="2" s="1"/>
  <c r="H74" i="2"/>
  <c r="Z74" i="2" s="1"/>
  <c r="X43" i="2"/>
  <c r="Y43" i="2"/>
  <c r="AB25" i="2"/>
  <c r="AE25" i="2"/>
  <c r="Z25" i="2"/>
  <c r="Z40" i="2"/>
  <c r="AC40" i="2"/>
  <c r="AE40" i="2"/>
  <c r="AD25" i="2"/>
  <c r="AA25" i="2"/>
  <c r="AD40" i="2"/>
  <c r="AC27" i="2"/>
  <c r="AB27" i="2"/>
  <c r="AA27" i="2"/>
  <c r="Z27" i="2"/>
  <c r="AD27" i="2"/>
  <c r="AE27" i="2"/>
  <c r="AB40" i="2"/>
  <c r="AA40" i="2"/>
  <c r="AF18" i="2"/>
  <c r="AF20" i="2"/>
  <c r="AF21" i="2"/>
  <c r="AB22" i="2" l="1"/>
  <c r="AD22" i="2"/>
  <c r="AC22" i="2"/>
  <c r="Z22" i="2"/>
  <c r="AF22" i="2" s="1"/>
  <c r="AE22" i="2"/>
  <c r="AE31" i="2"/>
  <c r="AM38" i="2"/>
  <c r="AC32" i="2"/>
  <c r="AB31" i="2"/>
  <c r="AC31" i="2"/>
  <c r="AA32" i="2"/>
  <c r="AB32" i="2"/>
  <c r="Z32" i="2"/>
  <c r="AD32" i="2"/>
  <c r="AD33" i="2"/>
  <c r="AB26" i="2"/>
  <c r="AE26" i="2"/>
  <c r="Z26" i="2"/>
  <c r="AC26" i="2"/>
  <c r="AA26" i="2"/>
  <c r="AA31" i="2"/>
  <c r="AD31" i="2"/>
  <c r="Z33" i="2"/>
  <c r="AE33" i="2"/>
  <c r="AA33" i="2"/>
  <c r="AB23" i="2"/>
  <c r="AE23" i="2"/>
  <c r="AD23" i="2"/>
  <c r="Z23" i="2"/>
  <c r="AA23" i="2"/>
  <c r="AB33" i="2"/>
  <c r="Z68" i="2"/>
  <c r="AA68" i="2"/>
  <c r="AC68" i="2"/>
  <c r="AA42" i="2"/>
  <c r="AB68" i="2"/>
  <c r="AC57" i="2"/>
  <c r="AD57" i="2"/>
  <c r="Z36" i="2"/>
  <c r="AC36" i="2"/>
  <c r="AA36" i="2"/>
  <c r="Z69" i="2"/>
  <c r="AD49" i="2"/>
  <c r="AE49" i="2"/>
  <c r="AA49" i="2"/>
  <c r="AE60" i="2"/>
  <c r="AA56" i="2"/>
  <c r="Z60" i="2"/>
  <c r="AD60" i="2"/>
  <c r="AC56" i="2"/>
  <c r="AD65" i="2"/>
  <c r="Z65" i="2"/>
  <c r="Z67" i="2"/>
  <c r="AD37" i="2"/>
  <c r="AA66" i="2"/>
  <c r="AA74" i="2"/>
  <c r="AB42" i="2"/>
  <c r="AE66" i="2"/>
  <c r="AD66" i="2"/>
  <c r="Z66" i="2"/>
  <c r="AC66" i="2"/>
  <c r="AE54" i="2"/>
  <c r="AB36" i="2"/>
  <c r="AB48" i="2"/>
  <c r="AA70" i="2"/>
  <c r="AE42" i="2"/>
  <c r="AE36" i="2"/>
  <c r="AD42" i="2"/>
  <c r="AB60" i="2"/>
  <c r="AA53" i="2"/>
  <c r="AC60" i="2"/>
  <c r="Z49" i="2"/>
  <c r="AA39" i="2"/>
  <c r="Z56" i="2"/>
  <c r="AB50" i="2"/>
  <c r="AD74" i="2"/>
  <c r="AE39" i="2"/>
  <c r="AB64" i="2"/>
  <c r="Z58" i="2"/>
  <c r="AE72" i="2"/>
  <c r="AD39" i="2"/>
  <c r="AC35" i="2"/>
  <c r="Z72" i="2"/>
  <c r="AD58" i="2"/>
  <c r="AA67" i="2"/>
  <c r="AB58" i="2"/>
  <c r="AB39" i="2"/>
  <c r="AA35" i="2"/>
  <c r="AC39" i="2"/>
  <c r="AB49" i="2"/>
  <c r="Z59" i="2"/>
  <c r="AD72" i="2"/>
  <c r="AB65" i="2"/>
  <c r="AB72" i="2"/>
  <c r="AC59" i="2"/>
  <c r="AC65" i="2"/>
  <c r="Z35" i="2"/>
  <c r="AE74" i="2"/>
  <c r="Z57" i="2"/>
  <c r="AE57" i="2"/>
  <c r="AA57" i="2"/>
  <c r="AD35" i="2"/>
  <c r="AC67" i="2"/>
  <c r="AE35" i="2"/>
  <c r="AD67" i="2"/>
  <c r="AB67" i="2"/>
  <c r="Z30" i="2"/>
  <c r="AB74" i="2"/>
  <c r="AC53" i="2"/>
  <c r="AA50" i="2"/>
  <c r="AD56" i="2"/>
  <c r="AD68" i="2"/>
  <c r="AC50" i="2"/>
  <c r="Z75" i="2"/>
  <c r="AD50" i="2"/>
  <c r="AB56" i="2"/>
  <c r="AF23" i="2"/>
  <c r="AE50" i="2"/>
  <c r="AC34" i="2"/>
  <c r="Z42" i="2"/>
  <c r="AA69" i="2"/>
  <c r="AD59" i="2"/>
  <c r="AE59" i="2"/>
  <c r="AB59" i="2"/>
  <c r="AC64" i="2"/>
  <c r="Z64" i="2"/>
  <c r="AA72" i="2"/>
  <c r="AD53" i="2"/>
  <c r="AD63" i="2"/>
  <c r="AA19" i="2"/>
  <c r="AB69" i="2"/>
  <c r="AC69" i="2"/>
  <c r="AE69" i="2"/>
  <c r="AA44" i="2"/>
  <c r="AB37" i="2"/>
  <c r="AE63" i="2"/>
  <c r="AE65" i="2"/>
  <c r="AC37" i="2"/>
  <c r="AE70" i="2"/>
  <c r="Z70" i="2"/>
  <c r="AC70" i="2"/>
  <c r="AA48" i="2"/>
  <c r="Z48" i="2"/>
  <c r="AE30" i="2"/>
  <c r="AB46" i="2"/>
  <c r="AC44" i="2"/>
  <c r="AA46" i="2"/>
  <c r="AD46" i="2"/>
  <c r="AD30" i="2"/>
  <c r="AD48" i="2"/>
  <c r="AE29" i="2"/>
  <c r="AC48" i="2"/>
  <c r="AB30" i="2"/>
  <c r="AC73" i="2"/>
  <c r="AA45" i="2"/>
  <c r="AB73" i="2"/>
  <c r="AC46" i="2"/>
  <c r="AD45" i="2"/>
  <c r="AE46" i="2"/>
  <c r="AA73" i="2"/>
  <c r="AE45" i="2"/>
  <c r="Z29" i="2"/>
  <c r="Z73" i="2"/>
  <c r="AA29" i="2"/>
  <c r="AC29" i="2"/>
  <c r="AB63" i="2"/>
  <c r="AD70" i="2"/>
  <c r="AB44" i="2"/>
  <c r="AE73" i="2"/>
  <c r="AB29" i="2"/>
  <c r="AE44" i="2"/>
  <c r="AE19" i="2"/>
  <c r="Z44" i="2"/>
  <c r="Z19" i="2"/>
  <c r="AB19" i="2"/>
  <c r="AC75" i="2"/>
  <c r="AB75" i="2"/>
  <c r="Z45" i="2"/>
  <c r="AB52" i="2"/>
  <c r="AD41" i="2"/>
  <c r="AD52" i="2"/>
  <c r="Z52" i="2"/>
  <c r="AA52" i="2"/>
  <c r="AC45" i="2"/>
  <c r="AD19" i="2"/>
  <c r="AF19" i="2" s="1"/>
  <c r="AC52" i="2"/>
  <c r="Z63" i="2"/>
  <c r="Z71" i="2"/>
  <c r="AC62" i="2"/>
  <c r="Z28" i="2"/>
  <c r="AB62" i="2"/>
  <c r="AE62" i="2"/>
  <c r="AD62" i="2"/>
  <c r="Z62" i="2"/>
  <c r="AD28" i="2"/>
  <c r="AD55" i="2"/>
  <c r="AC28" i="2"/>
  <c r="AB51" i="2"/>
  <c r="AB28" i="2"/>
  <c r="Z51" i="2"/>
  <c r="AA34" i="2"/>
  <c r="AD34" i="2"/>
  <c r="AF38" i="2"/>
  <c r="AE34" i="2"/>
  <c r="AB53" i="2"/>
  <c r="AB55" i="2"/>
  <c r="AC55" i="2"/>
  <c r="AA30" i="2"/>
  <c r="AE55" i="2"/>
  <c r="AA55" i="2"/>
  <c r="Z53" i="2"/>
  <c r="Z34" i="2"/>
  <c r="AF25" i="2"/>
  <c r="AD61" i="2"/>
  <c r="AC51" i="2"/>
  <c r="AD24" i="2"/>
  <c r="AE51" i="2"/>
  <c r="AA75" i="2"/>
  <c r="AE24" i="2"/>
  <c r="AD54" i="2"/>
  <c r="AA51" i="2"/>
  <c r="AA54" i="2"/>
  <c r="AE37" i="2"/>
  <c r="Z24" i="2"/>
  <c r="AB41" i="2"/>
  <c r="Z54" i="2"/>
  <c r="AD75" i="2"/>
  <c r="AA24" i="2"/>
  <c r="Z41" i="2"/>
  <c r="AC54" i="2"/>
  <c r="Z37" i="2"/>
  <c r="AB24" i="2"/>
  <c r="AE28" i="2"/>
  <c r="AF28" i="2" s="1"/>
  <c r="AC74" i="2"/>
  <c r="AC63" i="2"/>
  <c r="AA64" i="2"/>
  <c r="AC41" i="2"/>
  <c r="AE64" i="2"/>
  <c r="AA41" i="2"/>
  <c r="Z61" i="2"/>
  <c r="AC58" i="2"/>
  <c r="AE61" i="2"/>
  <c r="AA61" i="2"/>
  <c r="AC71" i="2"/>
  <c r="AA58" i="2"/>
  <c r="AF58" i="2" s="1"/>
  <c r="AD71" i="2"/>
  <c r="AE71" i="2"/>
  <c r="AB71" i="2"/>
  <c r="Z47" i="2"/>
  <c r="AD47" i="2"/>
  <c r="AE47" i="2"/>
  <c r="AA47" i="2"/>
  <c r="AB61" i="2"/>
  <c r="AB47" i="2"/>
  <c r="H43" i="2"/>
  <c r="AB43" i="2" s="1"/>
  <c r="AF26" i="2"/>
  <c r="AF29" i="2"/>
  <c r="AF40" i="2"/>
  <c r="AF42" i="2"/>
  <c r="AF27" i="2"/>
  <c r="AF39" i="2"/>
  <c r="AN38" i="2" l="1"/>
  <c r="AQ68" i="2"/>
  <c r="AF32" i="2"/>
  <c r="AF33" i="2"/>
  <c r="AM59" i="2"/>
  <c r="AN59" i="2" s="1"/>
  <c r="AM47" i="2"/>
  <c r="AN47" i="2" s="1"/>
  <c r="AM64" i="2"/>
  <c r="AF31" i="2"/>
  <c r="AM72" i="2"/>
  <c r="AN72" i="2" s="1"/>
  <c r="AM70" i="2"/>
  <c r="AF60" i="2"/>
  <c r="AF59" i="2"/>
  <c r="AF36" i="2"/>
  <c r="AF66" i="2"/>
  <c r="AF49" i="2"/>
  <c r="AF68" i="2"/>
  <c r="AF35" i="2"/>
  <c r="AF72" i="2"/>
  <c r="AF65" i="2"/>
  <c r="AF50" i="2"/>
  <c r="AF74" i="2"/>
  <c r="AF57" i="2"/>
  <c r="AF67" i="2"/>
  <c r="AF56" i="2"/>
  <c r="AF69" i="2"/>
  <c r="AF48" i="2"/>
  <c r="AF70" i="2"/>
  <c r="AF46" i="2"/>
  <c r="AF73" i="2"/>
  <c r="AF30" i="2"/>
  <c r="AF44" i="2"/>
  <c r="AF45" i="2"/>
  <c r="AF34" i="2"/>
  <c r="AF51" i="2"/>
  <c r="AF55" i="2"/>
  <c r="AF52" i="2"/>
  <c r="AF53" i="2"/>
  <c r="AF63" i="2"/>
  <c r="AF62" i="2"/>
  <c r="AF75" i="2"/>
  <c r="AA43" i="2"/>
  <c r="Z43" i="2"/>
  <c r="AF54" i="2"/>
  <c r="AD43" i="2"/>
  <c r="AF41" i="2"/>
  <c r="AF64" i="2"/>
  <c r="AC43" i="2"/>
  <c r="AF37" i="2"/>
  <c r="AF47" i="2"/>
  <c r="AF71" i="2"/>
  <c r="AF24" i="2"/>
  <c r="AE43" i="2"/>
  <c r="AF61" i="2"/>
  <c r="AQ67" i="2" l="1"/>
  <c r="AM43" i="2"/>
  <c r="AN43" i="2" s="1"/>
  <c r="AN64" i="2"/>
  <c r="AN70" i="2"/>
  <c r="AF43" i="2"/>
  <c r="AF76" i="2" s="1"/>
  <c r="AF17" i="2" l="1"/>
  <c r="AK64" i="2" s="1"/>
  <c r="AK58" i="2" l="1"/>
  <c r="AL51" i="2"/>
  <c r="AI48" i="2"/>
  <c r="AL34" i="2"/>
  <c r="AK39" i="2"/>
  <c r="AL73" i="2"/>
  <c r="AK41" i="2"/>
  <c r="AL31" i="2"/>
  <c r="AH32" i="2"/>
  <c r="AK43" i="2"/>
  <c r="AJ29" i="2"/>
  <c r="AH25" i="2"/>
  <c r="AI29" i="2"/>
  <c r="AH66" i="2"/>
  <c r="AL46" i="2"/>
  <c r="AJ52" i="2"/>
  <c r="AH35" i="2"/>
  <c r="AI26" i="2"/>
  <c r="AK60" i="2"/>
  <c r="AH27" i="2"/>
  <c r="AI73" i="2"/>
  <c r="AL58" i="2"/>
  <c r="AI44" i="2"/>
  <c r="AG57" i="2"/>
  <c r="AL32" i="2"/>
  <c r="AG69" i="2"/>
  <c r="AH48" i="2"/>
  <c r="AJ51" i="2"/>
  <c r="AK61" i="2"/>
  <c r="AK24" i="2"/>
  <c r="AJ30" i="2"/>
  <c r="AG22" i="2"/>
  <c r="AL70" i="2"/>
  <c r="AK45" i="2"/>
  <c r="AH30" i="2"/>
  <c r="AJ36" i="2"/>
  <c r="AI62" i="2"/>
  <c r="AG56" i="2"/>
  <c r="AH31" i="2"/>
  <c r="AI68" i="2"/>
  <c r="AJ27" i="2"/>
  <c r="AK33" i="2"/>
  <c r="AK62" i="2"/>
  <c r="AL49" i="2"/>
  <c r="AK50" i="2"/>
  <c r="AK21" i="2"/>
  <c r="AK55" i="2"/>
  <c r="AH54" i="2"/>
  <c r="AL64" i="2"/>
  <c r="AL53" i="2"/>
  <c r="AI66" i="2"/>
  <c r="AH21" i="2"/>
  <c r="AH19" i="2"/>
  <c r="AL50" i="2"/>
  <c r="AL28" i="2"/>
  <c r="AG21" i="2"/>
  <c r="AI71" i="2"/>
  <c r="AJ31" i="2"/>
  <c r="AI57" i="2"/>
  <c r="AJ59" i="2"/>
  <c r="AJ42" i="2"/>
  <c r="AL30" i="2"/>
  <c r="AJ49" i="2"/>
  <c r="AH22" i="2"/>
  <c r="AH68" i="2"/>
  <c r="AH50" i="2"/>
  <c r="AI32" i="2"/>
  <c r="AL37" i="2"/>
  <c r="AJ34" i="2"/>
  <c r="AH75" i="2"/>
  <c r="AG59" i="2"/>
  <c r="AI37" i="2"/>
  <c r="AG70" i="2"/>
  <c r="AJ32" i="2"/>
  <c r="AJ50" i="2"/>
  <c r="AG54" i="2"/>
  <c r="AG46" i="2"/>
  <c r="AG52" i="2"/>
  <c r="AI20" i="2"/>
  <c r="AK46" i="2"/>
  <c r="AL66" i="2"/>
  <c r="AI50" i="2"/>
  <c r="AH63" i="2"/>
  <c r="AI18" i="2"/>
  <c r="AJ45" i="2"/>
  <c r="AH70" i="2"/>
  <c r="AK72" i="2"/>
  <c r="AJ55" i="2"/>
  <c r="AL18" i="2"/>
  <c r="AJ44" i="2"/>
  <c r="AK68" i="2"/>
  <c r="AG68" i="2"/>
  <c r="AH39" i="2"/>
  <c r="AK34" i="2"/>
  <c r="AH26" i="2"/>
  <c r="AH65" i="2"/>
  <c r="AJ46" i="2"/>
  <c r="AH33" i="2"/>
  <c r="AI49" i="2"/>
  <c r="AI60" i="2"/>
  <c r="AK19" i="2"/>
  <c r="AI27" i="2"/>
  <c r="AL27" i="2"/>
  <c r="AL48" i="2"/>
  <c r="AL38" i="2"/>
  <c r="AG39" i="2"/>
  <c r="AK65" i="2"/>
  <c r="AJ64" i="2"/>
  <c r="AJ28" i="2"/>
  <c r="AH74" i="2"/>
  <c r="AL29" i="2"/>
  <c r="AI25" i="2"/>
  <c r="AJ22" i="2"/>
  <c r="AH53" i="2"/>
  <c r="AK53" i="2"/>
  <c r="AH57" i="2"/>
  <c r="AH52" i="2"/>
  <c r="AH45" i="2"/>
  <c r="AJ26" i="2"/>
  <c r="AH49" i="2"/>
  <c r="AK71" i="2"/>
  <c r="AI22" i="2"/>
  <c r="AK29" i="2"/>
  <c r="AH42" i="2"/>
  <c r="AG41" i="2"/>
  <c r="AG58" i="2"/>
  <c r="AJ76" i="2"/>
  <c r="AG36" i="2"/>
  <c r="AK54" i="2"/>
  <c r="AL26" i="2"/>
  <c r="AL59" i="2"/>
  <c r="AL42" i="2"/>
  <c r="AG73" i="2"/>
  <c r="AJ70" i="2"/>
  <c r="AG18" i="2"/>
  <c r="AJ54" i="2"/>
  <c r="AJ39" i="2"/>
  <c r="AK42" i="2"/>
  <c r="AL54" i="2"/>
  <c r="AK73" i="2"/>
  <c r="AL41" i="2"/>
  <c r="AH56" i="2"/>
  <c r="AK40" i="2"/>
  <c r="AL67" i="2"/>
  <c r="AG50" i="2"/>
  <c r="AK49" i="2"/>
  <c r="AI53" i="2"/>
  <c r="AJ37" i="2"/>
  <c r="AK57" i="2"/>
  <c r="AI55" i="2"/>
  <c r="AI45" i="2"/>
  <c r="AH43" i="2"/>
  <c r="AI23" i="2"/>
  <c r="AJ60" i="2"/>
  <c r="AJ25" i="2"/>
  <c r="AH76" i="2"/>
  <c r="AK59" i="2"/>
  <c r="AL71" i="2"/>
  <c r="AJ43" i="2"/>
  <c r="AG31" i="2"/>
  <c r="AK44" i="2"/>
  <c r="AI21" i="2"/>
  <c r="AH17" i="2"/>
  <c r="AK69" i="2"/>
  <c r="AG19" i="2"/>
  <c r="AH28" i="2"/>
  <c r="AI46" i="2"/>
  <c r="AG44" i="2"/>
  <c r="AJ71" i="2"/>
  <c r="AG26" i="2"/>
  <c r="AL56" i="2"/>
  <c r="AG40" i="2"/>
  <c r="AH20" i="2"/>
  <c r="AL19" i="2"/>
  <c r="AK38" i="2"/>
  <c r="AG34" i="2"/>
  <c r="AL25" i="2"/>
  <c r="AL60" i="2"/>
  <c r="AG20" i="2"/>
  <c r="AG43" i="2"/>
  <c r="AG38" i="2"/>
  <c r="AL65" i="2"/>
  <c r="AH55" i="2"/>
  <c r="AL69" i="2"/>
  <c r="AH62" i="2"/>
  <c r="AH36" i="2"/>
  <c r="AL35" i="2"/>
  <c r="AJ35" i="2"/>
  <c r="AK26" i="2"/>
  <c r="AJ66" i="2"/>
  <c r="AI69" i="2"/>
  <c r="AL45" i="2"/>
  <c r="AK74" i="2"/>
  <c r="AL72" i="2"/>
  <c r="AK56" i="2"/>
  <c r="AK37" i="2"/>
  <c r="AI61" i="2"/>
  <c r="AI40" i="2"/>
  <c r="AG61" i="2"/>
  <c r="AI30" i="2"/>
  <c r="AL22" i="2"/>
  <c r="AL24" i="2"/>
  <c r="AG28" i="2"/>
  <c r="AJ75" i="2"/>
  <c r="AH41" i="2"/>
  <c r="AI65" i="2"/>
  <c r="AL33" i="2"/>
  <c r="AI67" i="2"/>
  <c r="AG65" i="2"/>
  <c r="AJ63" i="2"/>
  <c r="AJ40" i="2"/>
  <c r="AL74" i="2"/>
  <c r="AI38" i="2"/>
  <c r="AJ20" i="2"/>
  <c r="AI59" i="2"/>
  <c r="AK31" i="2"/>
  <c r="AG75" i="2"/>
  <c r="AL62" i="2"/>
  <c r="AL44" i="2"/>
  <c r="AI36" i="2"/>
  <c r="AI31" i="2"/>
  <c r="AK52" i="2"/>
  <c r="AH59" i="2"/>
  <c r="AI52" i="2"/>
  <c r="AL68" i="2"/>
  <c r="AG49" i="2"/>
  <c r="AG48" i="2"/>
  <c r="AI74" i="2"/>
  <c r="AG25" i="2"/>
  <c r="AI42" i="2"/>
  <c r="AG62" i="2"/>
  <c r="AG45" i="2"/>
  <c r="AK51" i="2"/>
  <c r="AL55" i="2"/>
  <c r="AG67" i="2"/>
  <c r="AL43" i="2"/>
  <c r="AJ73" i="2"/>
  <c r="AJ53" i="2"/>
  <c r="AG24" i="2"/>
  <c r="AI28" i="2"/>
  <c r="AI43" i="2"/>
  <c r="AG66" i="2"/>
  <c r="AJ47" i="2"/>
  <c r="AI33" i="2"/>
  <c r="AI70" i="2"/>
  <c r="AJ23" i="2"/>
  <c r="AK30" i="2"/>
  <c r="AH73" i="2"/>
  <c r="AK20" i="2"/>
  <c r="AI35" i="2"/>
  <c r="AG74" i="2"/>
  <c r="AG29" i="2"/>
  <c r="AJ19" i="2"/>
  <c r="AH18" i="2"/>
  <c r="AJ72" i="2"/>
  <c r="AL57" i="2"/>
  <c r="AK48" i="2"/>
  <c r="AI47" i="2"/>
  <c r="AK75" i="2"/>
  <c r="AG37" i="2"/>
  <c r="AH71" i="2"/>
  <c r="AL23" i="2"/>
  <c r="AJ17" i="2"/>
  <c r="AH29" i="2"/>
  <c r="AJ24" i="2"/>
  <c r="AG27" i="2"/>
  <c r="AL36" i="2"/>
  <c r="AJ69" i="2"/>
  <c r="AH40" i="2"/>
  <c r="AH34" i="2"/>
  <c r="AI34" i="2"/>
  <c r="AH23" i="2"/>
  <c r="AG47" i="2"/>
  <c r="AG72" i="2"/>
  <c r="AL61" i="2"/>
  <c r="AI24" i="2"/>
  <c r="AJ67" i="2"/>
  <c r="AG42" i="2"/>
  <c r="AK32" i="2"/>
  <c r="AI39" i="2"/>
  <c r="AK66" i="2"/>
  <c r="AI64" i="2"/>
  <c r="AH37" i="2"/>
  <c r="AG30" i="2"/>
  <c r="AJ38" i="2"/>
  <c r="AK27" i="2"/>
  <c r="AH67" i="2"/>
  <c r="AJ74" i="2"/>
  <c r="AI58" i="2"/>
  <c r="AL75" i="2"/>
  <c r="AH60" i="2"/>
  <c r="AJ58" i="2"/>
  <c r="AJ61" i="2"/>
  <c r="AJ21" i="2"/>
  <c r="AJ18" i="2"/>
  <c r="AG33" i="2"/>
  <c r="AL20" i="2"/>
  <c r="AK63" i="2"/>
  <c r="AJ62" i="2"/>
  <c r="AH64" i="2"/>
  <c r="AI54" i="2"/>
  <c r="AH69" i="2"/>
  <c r="AG53" i="2"/>
  <c r="AL63" i="2"/>
  <c r="AH51" i="2"/>
  <c r="AG51" i="2"/>
  <c r="AL39" i="2"/>
  <c r="AI19" i="2"/>
  <c r="AG55" i="2"/>
  <c r="AG35" i="2"/>
  <c r="AG32" i="2"/>
  <c r="AL40" i="2"/>
  <c r="AK67" i="2"/>
  <c r="AK18" i="2"/>
  <c r="AG23" i="2"/>
  <c r="AJ48" i="2"/>
  <c r="AG71" i="2"/>
  <c r="AH46" i="2"/>
  <c r="AI56" i="2"/>
  <c r="AJ33" i="2"/>
  <c r="AG64" i="2"/>
  <c r="AL47" i="2"/>
  <c r="AI51" i="2"/>
  <c r="AH38" i="2"/>
  <c r="AH44" i="2"/>
  <c r="AK70" i="2"/>
  <c r="AH58" i="2"/>
  <c r="AJ65" i="2"/>
  <c r="AH24" i="2"/>
  <c r="AH47" i="2"/>
  <c r="AI75" i="2"/>
  <c r="AL52" i="2"/>
  <c r="AK36" i="2"/>
  <c r="AG60" i="2"/>
  <c r="AJ57" i="2"/>
  <c r="AJ41" i="2"/>
  <c r="AI41" i="2"/>
  <c r="AJ68" i="2"/>
  <c r="AK22" i="2"/>
  <c r="AK28" i="2"/>
  <c r="AK47" i="2"/>
  <c r="AI63" i="2"/>
  <c r="AG63" i="2"/>
  <c r="AI72" i="2"/>
  <c r="AJ56" i="2"/>
  <c r="AK25" i="2"/>
  <c r="AL21" i="2"/>
  <c r="AK23" i="2"/>
  <c r="AK35" i="2"/>
  <c r="AH61" i="2"/>
  <c r="AH72" i="2"/>
</calcChain>
</file>

<file path=xl/sharedStrings.xml><?xml version="1.0" encoding="utf-8"?>
<sst xmlns="http://schemas.openxmlformats.org/spreadsheetml/2006/main" count="190" uniqueCount="113">
  <si>
    <t>Enter Max:</t>
  </si>
  <si>
    <t>Enter average load:</t>
  </si>
  <si>
    <t xml:space="preserve">Variation factor + - </t>
  </si>
  <si>
    <t>Battery peak shaving (+ - )</t>
  </si>
  <si>
    <t>Spinning reserve</t>
  </si>
  <si>
    <t>Load (%)</t>
  </si>
  <si>
    <t>SFOC (g/kwh)</t>
  </si>
  <si>
    <t>Max battery peak shaving and reserve capacity</t>
  </si>
  <si>
    <t>DP Redundancy</t>
  </si>
  <si>
    <t>G1</t>
  </si>
  <si>
    <t>G6</t>
  </si>
  <si>
    <t>G2</t>
  </si>
  <si>
    <t>G3</t>
  </si>
  <si>
    <t>G4</t>
  </si>
  <si>
    <t>G5</t>
  </si>
  <si>
    <t>Mission HVY consumer load expected at its max load:</t>
  </si>
  <si>
    <t>DP (Thruster) load demand:</t>
  </si>
  <si>
    <t>Losses for PTI propulsion</t>
  </si>
  <si>
    <t>Mission load demand:</t>
  </si>
  <si>
    <t>Propeller load demand:</t>
  </si>
  <si>
    <t>* PTI available?</t>
  </si>
  <si>
    <t>Enter Max load:</t>
  </si>
  <si>
    <t>Hotel load demand:</t>
  </si>
  <si>
    <t>Prop 1</t>
  </si>
  <si>
    <t>Prop 2</t>
  </si>
  <si>
    <t>Aux</t>
  </si>
  <si>
    <t>Max</t>
  </si>
  <si>
    <t>Total demand:</t>
  </si>
  <si>
    <t>Propulsion</t>
  </si>
  <si>
    <t>Max Gen</t>
  </si>
  <si>
    <t>Max PTI</t>
  </si>
  <si>
    <t>MAX ME + PTI</t>
  </si>
  <si>
    <t>ME loss for power to hotel load (SG PTO - switchboard) is ~ the same as for Aux gensets</t>
  </si>
  <si>
    <t>Max PTO</t>
  </si>
  <si>
    <t>G2 - G5 loss for propulsion power is ~6-15% higher than directly from Engine (mechanical shaft)</t>
  </si>
  <si>
    <t>MAX Aux + PTO</t>
  </si>
  <si>
    <t>Total PWR</t>
  </si>
  <si>
    <t xml:space="preserve">ME </t>
  </si>
  <si>
    <t>Propulsion ME DEMAND  -&gt;</t>
  </si>
  <si>
    <t xml:space="preserve">AUX  </t>
  </si>
  <si>
    <t>SG 1</t>
  </si>
  <si>
    <t>SG 2</t>
  </si>
  <si>
    <t>PTI - PS</t>
  </si>
  <si>
    <t>PTO- PS</t>
  </si>
  <si>
    <t>SFOC (g/kwh) :</t>
  </si>
  <si>
    <t>TOTAL SFOC</t>
  </si>
  <si>
    <t>RECOMENDED ENGINES/GENERATORS:</t>
  </si>
  <si>
    <t>Total: % Demand of Max</t>
  </si>
  <si>
    <t>Setup MAX</t>
  </si>
  <si>
    <t xml:space="preserve">ME MAX </t>
  </si>
  <si>
    <t>Total DEMAND from ME</t>
  </si>
  <si>
    <t>Needed PTI PROP / PTO for Hotel</t>
  </si>
  <si>
    <t>for PTI 1</t>
  </si>
  <si>
    <t>Remaining PTI (after PTI 2)</t>
  </si>
  <si>
    <t xml:space="preserve">AUX MAX </t>
  </si>
  <si>
    <t>Additional power/Load  for PTI propulsion on AUX gens due to losses</t>
  </si>
  <si>
    <t>Total DEMAND from AUX</t>
  </si>
  <si>
    <t>Aux: % Demand of Max</t>
  </si>
  <si>
    <t>PTI 1</t>
  </si>
  <si>
    <t>PTO 1</t>
  </si>
  <si>
    <t>PTI 2</t>
  </si>
  <si>
    <t>PTO 2</t>
  </si>
  <si>
    <t>Available PTI for Peak shaving from battery</t>
  </si>
  <si>
    <t>Available PTO for Peak shaving to battery</t>
  </si>
  <si>
    <t>ME</t>
  </si>
  <si>
    <t>Setup variants:</t>
  </si>
  <si>
    <t>% Demand of Max</t>
  </si>
  <si>
    <t>MAX</t>
  </si>
  <si>
    <t>DEMAND</t>
  </si>
  <si>
    <t>needed PTI PROP / PTO for Hotel</t>
  </si>
  <si>
    <t>Needed max reserve capacity (Additional for immediate usage - Spinning reserve or battery)</t>
  </si>
  <si>
    <t>Operation Type</t>
  </si>
  <si>
    <t>Prioritized order of battery usage:</t>
  </si>
  <si>
    <t>Off battery:</t>
  </si>
  <si>
    <t>Average current / actual load usage  in period</t>
  </si>
  <si>
    <t xml:space="preserve">Variations due to </t>
  </si>
  <si>
    <t>Max Actual incl additional variation (Max in time period/ operation period)</t>
  </si>
  <si>
    <t>Max variations (Peak shaving potential or reserve)</t>
  </si>
  <si>
    <t>Max battery usage:</t>
  </si>
  <si>
    <t xml:space="preserve"> + - range battery usage:</t>
  </si>
  <si>
    <t>Remaining battery capacity for reserves or peak shaving:</t>
  </si>
  <si>
    <t>Additional spinning reserve needed</t>
  </si>
  <si>
    <t>Comments</t>
  </si>
  <si>
    <t>DP Operation</t>
  </si>
  <si>
    <t>DP (Thruster) load reserve</t>
  </si>
  <si>
    <t>RESERVE</t>
  </si>
  <si>
    <t>DP class redundancy req</t>
  </si>
  <si>
    <t>DP (Thruster) load demand</t>
  </si>
  <si>
    <t>PEAK SHAVING</t>
  </si>
  <si>
    <t>External forces (Environmental) + DP control process dynamics</t>
  </si>
  <si>
    <t xml:space="preserve"> - Crane operation…</t>
  </si>
  <si>
    <t>Mission load demand</t>
  </si>
  <si>
    <t>0 - Max heavy consumer usage to be expected</t>
  </si>
  <si>
    <t>Mission HVY consumer load expected at its max load when in operation period</t>
  </si>
  <si>
    <t>Sailing</t>
  </si>
  <si>
    <t>Propeller demand</t>
  </si>
  <si>
    <t>External forces (Environmental)</t>
  </si>
  <si>
    <t>If battery usage, ensure sufficient PTI capacity to use the battery for redundancy and/or peak shaving</t>
  </si>
  <si>
    <t xml:space="preserve"> - At harbour, sailing…</t>
  </si>
  <si>
    <t>Hotel load demand</t>
  </si>
  <si>
    <t>Only start/stopp consumers</t>
  </si>
  <si>
    <t xml:space="preserve">Current hotel load expected </t>
  </si>
  <si>
    <t>Spin reserve to be added to avg demand</t>
  </si>
  <si>
    <t>Enter SFOC values:</t>
  </si>
  <si>
    <t>AUX generators:</t>
  </si>
  <si>
    <t>Engine2</t>
  </si>
  <si>
    <t>Engine3</t>
  </si>
  <si>
    <t>Engine4</t>
  </si>
  <si>
    <t>Engine5</t>
  </si>
  <si>
    <t>Main Engines:</t>
  </si>
  <si>
    <t>Engine 1</t>
  </si>
  <si>
    <t>Engine 6</t>
  </si>
  <si>
    <t>1Egi9o9o9o0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</si>
</sst>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6591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6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medium">
        <color rgb="FF3F3F3F"/>
      </left>
      <right/>
      <top style="medium">
        <color rgb="FF3F3F3F"/>
      </top>
      <bottom/>
      <diagonal/>
    </border>
    <border>
      <left/>
      <right style="medium">
        <color rgb="FF3F3F3F"/>
      </right>
      <top style="medium">
        <color rgb="FF3F3F3F"/>
      </top>
      <bottom/>
      <diagonal/>
    </border>
    <border>
      <left style="medium">
        <color rgb="FF3F3F3F"/>
      </left>
      <right/>
      <top/>
      <bottom/>
      <diagonal/>
    </border>
    <border>
      <left/>
      <right style="medium">
        <color rgb="FF3F3F3F"/>
      </right>
      <top/>
      <bottom/>
      <diagonal/>
    </border>
    <border>
      <left style="medium">
        <color rgb="FF3F3F3F"/>
      </left>
      <right/>
      <top/>
      <bottom style="medium">
        <color rgb="FF3F3F3F"/>
      </bottom>
      <diagonal/>
    </border>
    <border>
      <left/>
      <right style="medium">
        <color rgb="FF3F3F3F"/>
      </right>
      <top/>
      <bottom style="medium">
        <color rgb="FF3F3F3F"/>
      </bottom>
      <diagonal/>
    </border>
    <border>
      <left style="medium">
        <color rgb="FF3F3F3F"/>
      </left>
      <right style="double">
        <color rgb="FF3F3F3F"/>
      </right>
      <top style="double">
        <color rgb="FF3F3F3F"/>
      </top>
      <bottom style="medium">
        <color rgb="FF3F3F3F"/>
      </bottom>
      <diagonal/>
    </border>
    <border>
      <left style="medium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/>
      <right/>
      <top/>
      <bottom style="medium">
        <color rgb="FF3F3F3F"/>
      </bottom>
      <diagonal/>
    </border>
    <border>
      <left/>
      <right style="double">
        <color rgb="FF3F3F3F"/>
      </right>
      <top/>
      <bottom style="medium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rgb="FF3F3F3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medium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medium">
        <color rgb="FF3F3F3F"/>
      </bottom>
      <diagonal/>
    </border>
    <border>
      <left style="medium">
        <color rgb="FF3F3F3F"/>
      </left>
      <right/>
      <top style="medium">
        <color rgb="FF3F3F3F"/>
      </top>
      <bottom style="medium">
        <color rgb="FF3F3F3F"/>
      </bottom>
      <diagonal/>
    </border>
    <border>
      <left/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rgb="FF3F3F3F"/>
      </left>
      <right/>
      <top style="medium">
        <color rgb="FF3F3F3F"/>
      </top>
      <bottom style="thin">
        <color rgb="FF3F3F3F"/>
      </bottom>
      <diagonal/>
    </border>
    <border>
      <left style="medium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rgb="FF3F3F3F"/>
      </left>
      <right/>
      <top style="thin">
        <color rgb="FF3F3F3F"/>
      </top>
      <bottom style="medium">
        <color rgb="FF3F3F3F"/>
      </bottom>
      <diagonal/>
    </border>
    <border>
      <left/>
      <right/>
      <top style="medium">
        <color rgb="FF3F3F3F"/>
      </top>
      <bottom style="medium">
        <color rgb="FF3F3F3F"/>
      </bottom>
      <diagonal/>
    </border>
    <border>
      <left/>
      <right style="medium">
        <color rgb="FF3F3F3F"/>
      </right>
      <top style="medium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3F3F3F"/>
      </right>
      <top style="thin">
        <color rgb="FF3F3F3F"/>
      </top>
      <bottom style="medium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F3F3F"/>
      </left>
      <right/>
      <top style="medium">
        <color rgb="FF3F3F3F"/>
      </top>
      <bottom style="double">
        <color rgb="FF3F3F3F"/>
      </bottom>
      <diagonal/>
    </border>
    <border>
      <left/>
      <right style="medium">
        <color rgb="FF3F3F3F"/>
      </right>
      <top style="medium">
        <color rgb="FF3F3F3F"/>
      </top>
      <bottom style="double">
        <color rgb="FF3F3F3F"/>
      </bottom>
      <diagonal/>
    </border>
    <border>
      <left style="medium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medium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medium">
        <color rgb="FF3F3F3F"/>
      </right>
      <top style="double">
        <color rgb="FF3F3F3F"/>
      </top>
      <bottom style="medium">
        <color rgb="FF3F3F3F"/>
      </bottom>
      <diagonal/>
    </border>
    <border>
      <left/>
      <right style="medium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3F3F3F"/>
      </top>
      <bottom style="double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thin">
        <color rgb="FF7F7F7F"/>
      </bottom>
      <diagonal/>
    </border>
    <border>
      <left style="medium">
        <color rgb="FF7F7F7F"/>
      </left>
      <right style="medium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 style="medium">
        <color rgb="FF7F7F7F"/>
      </right>
      <top style="thin">
        <color rgb="FF7F7F7F"/>
      </top>
      <bottom style="medium">
        <color rgb="FF7F7F7F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6" borderId="12" applyNumberFormat="0" applyAlignment="0" applyProtection="0"/>
    <xf numFmtId="0" fontId="6" fillId="7" borderId="13" applyNumberFormat="0" applyAlignment="0" applyProtection="0"/>
    <xf numFmtId="0" fontId="7" fillId="8" borderId="0" applyNumberFormat="0" applyBorder="0" applyAlignment="0" applyProtection="0"/>
    <xf numFmtId="0" fontId="1" fillId="9" borderId="15" applyNumberFormat="0" applyFont="0" applyAlignment="0" applyProtection="0"/>
    <xf numFmtId="0" fontId="12" fillId="10" borderId="12" applyNumberForma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2" fillId="6" borderId="60" applyNumberFormat="0" applyAlignment="0" applyProtection="0"/>
    <xf numFmtId="0" fontId="1" fillId="14" borderId="0" applyNumberFormat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0" fontId="4" fillId="0" borderId="0" xfId="0" applyFont="1"/>
    <xf numFmtId="0" fontId="4" fillId="5" borderId="9" xfId="0" applyFont="1" applyFill="1" applyBorder="1"/>
    <xf numFmtId="9" fontId="4" fillId="0" borderId="9" xfId="1" applyFont="1" applyBorder="1"/>
    <xf numFmtId="0" fontId="8" fillId="2" borderId="2" xfId="2" applyFont="1" applyBorder="1"/>
    <xf numFmtId="0" fontId="8" fillId="2" borderId="3" xfId="2" applyFont="1" applyBorder="1"/>
    <xf numFmtId="1" fontId="8" fillId="2" borderId="4" xfId="2" applyNumberFormat="1" applyFont="1" applyBorder="1" applyAlignment="1">
      <alignment horizontal="center"/>
    </xf>
    <xf numFmtId="1" fontId="8" fillId="2" borderId="0" xfId="2" applyNumberFormat="1" applyFont="1" applyBorder="1" applyAlignment="1">
      <alignment horizontal="center"/>
    </xf>
    <xf numFmtId="1" fontId="8" fillId="2" borderId="5" xfId="2" applyNumberFormat="1" applyFont="1" applyBorder="1" applyAlignment="1">
      <alignment horizontal="center"/>
    </xf>
    <xf numFmtId="1" fontId="8" fillId="2" borderId="6" xfId="2" applyNumberFormat="1" applyFont="1" applyBorder="1" applyAlignment="1">
      <alignment horizontal="center"/>
    </xf>
    <xf numFmtId="1" fontId="8" fillId="2" borderId="7" xfId="2" applyNumberFormat="1" applyFont="1" applyBorder="1" applyAlignment="1">
      <alignment horizontal="center"/>
    </xf>
    <xf numFmtId="1" fontId="8" fillId="2" borderId="8" xfId="2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5" fillId="6" borderId="12" xfId="4" applyNumberFormat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14" xfId="3" applyBorder="1"/>
    <xf numFmtId="0" fontId="1" fillId="3" borderId="11" xfId="3" applyBorder="1"/>
    <xf numFmtId="1" fontId="8" fillId="2" borderId="3" xfId="2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10" fillId="6" borderId="12" xfId="4" applyFont="1" applyAlignment="1">
      <alignment horizontal="center"/>
    </xf>
    <xf numFmtId="0" fontId="11" fillId="6" borderId="12" xfId="4" applyFont="1" applyAlignment="1">
      <alignment wrapText="1"/>
    </xf>
    <xf numFmtId="0" fontId="11" fillId="6" borderId="12" xfId="4" applyFont="1" applyAlignment="1">
      <alignment horizontal="left"/>
    </xf>
    <xf numFmtId="0" fontId="6" fillId="7" borderId="13" xfId="5" applyAlignment="1">
      <alignment horizontal="center"/>
    </xf>
    <xf numFmtId="0" fontId="13" fillId="0" borderId="0" xfId="0" applyFont="1" applyAlignment="1">
      <alignment horizontal="center"/>
    </xf>
    <xf numFmtId="0" fontId="11" fillId="9" borderId="15" xfId="7" applyFont="1" applyAlignment="1">
      <alignment horizontal="center"/>
    </xf>
    <xf numFmtId="9" fontId="11" fillId="9" borderId="15" xfId="1" applyFont="1" applyFill="1" applyBorder="1" applyAlignment="1">
      <alignment horizontal="center"/>
    </xf>
    <xf numFmtId="1" fontId="8" fillId="2" borderId="1" xfId="2" applyNumberFormat="1" applyFont="1" applyBorder="1" applyAlignment="1">
      <alignment horizontal="center"/>
    </xf>
    <xf numFmtId="1" fontId="8" fillId="2" borderId="2" xfId="2" applyNumberFormat="1" applyFont="1" applyBorder="1" applyAlignment="1">
      <alignment horizontal="center"/>
    </xf>
    <xf numFmtId="1" fontId="8" fillId="2" borderId="16" xfId="2" applyNumberFormat="1" applyFont="1" applyBorder="1" applyAlignment="1">
      <alignment horizontal="center"/>
    </xf>
    <xf numFmtId="1" fontId="8" fillId="2" borderId="17" xfId="2" applyNumberFormat="1" applyFont="1" applyBorder="1" applyAlignment="1">
      <alignment horizontal="center"/>
    </xf>
    <xf numFmtId="0" fontId="8" fillId="2" borderId="17" xfId="2" applyFont="1" applyBorder="1"/>
    <xf numFmtId="0" fontId="8" fillId="2" borderId="18" xfId="2" applyFont="1" applyBorder="1"/>
    <xf numFmtId="0" fontId="8" fillId="8" borderId="0" xfId="6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2" borderId="1" xfId="2" applyFont="1" applyBorder="1" applyAlignment="1">
      <alignment horizontal="left"/>
    </xf>
    <xf numFmtId="0" fontId="5" fillId="6" borderId="12" xfId="4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1" fillId="7" borderId="28" xfId="5" applyFont="1" applyBorder="1" applyAlignment="1">
      <alignment horizontal="center" wrapText="1"/>
    </xf>
    <xf numFmtId="0" fontId="11" fillId="7" borderId="29" xfId="5" applyFont="1" applyBorder="1" applyAlignment="1">
      <alignment horizontal="center" wrapText="1"/>
    </xf>
    <xf numFmtId="0" fontId="6" fillId="7" borderId="0" xfId="5" applyBorder="1" applyAlignment="1">
      <alignment horizontal="center"/>
    </xf>
    <xf numFmtId="0" fontId="6" fillId="7" borderId="34" xfId="5" applyBorder="1" applyAlignment="1">
      <alignment horizontal="center"/>
    </xf>
    <xf numFmtId="0" fontId="6" fillId="7" borderId="35" xfId="5" applyBorder="1" applyAlignment="1">
      <alignment horizontal="center"/>
    </xf>
    <xf numFmtId="0" fontId="15" fillId="6" borderId="12" xfId="4" applyFont="1" applyAlignment="1">
      <alignment horizontal="left"/>
    </xf>
    <xf numFmtId="0" fontId="15" fillId="6" borderId="12" xfId="4" applyFont="1" applyAlignment="1">
      <alignment horizontal="center"/>
    </xf>
    <xf numFmtId="0" fontId="0" fillId="0" borderId="36" xfId="0" applyBorder="1" applyAlignment="1">
      <alignment horizontal="center"/>
    </xf>
    <xf numFmtId="1" fontId="3" fillId="11" borderId="41" xfId="9" applyNumberFormat="1" applyFont="1" applyBorder="1" applyAlignment="1">
      <alignment horizontal="center"/>
    </xf>
    <xf numFmtId="1" fontId="3" fillId="11" borderId="42" xfId="9" applyNumberFormat="1" applyFont="1" applyBorder="1" applyAlignment="1">
      <alignment horizontal="center"/>
    </xf>
    <xf numFmtId="1" fontId="3" fillId="11" borderId="20" xfId="9" applyNumberFormat="1" applyFont="1" applyBorder="1" applyAlignment="1">
      <alignment horizontal="center"/>
    </xf>
    <xf numFmtId="1" fontId="1" fillId="11" borderId="43" xfId="9" applyNumberFormat="1" applyBorder="1" applyAlignment="1">
      <alignment horizontal="center"/>
    </xf>
    <xf numFmtId="1" fontId="1" fillId="11" borderId="44" xfId="9" applyNumberFormat="1" applyBorder="1" applyAlignment="1">
      <alignment horizontal="center"/>
    </xf>
    <xf numFmtId="1" fontId="1" fillId="11" borderId="45" xfId="9" applyNumberFormat="1" applyBorder="1" applyAlignment="1">
      <alignment horizontal="center"/>
    </xf>
    <xf numFmtId="1" fontId="16" fillId="11" borderId="41" xfId="9" applyNumberFormat="1" applyFont="1" applyBorder="1" applyAlignment="1">
      <alignment horizontal="center"/>
    </xf>
    <xf numFmtId="1" fontId="16" fillId="11" borderId="42" xfId="9" applyNumberFormat="1" applyFont="1" applyBorder="1" applyAlignment="1">
      <alignment horizontal="center"/>
    </xf>
    <xf numFmtId="0" fontId="18" fillId="7" borderId="19" xfId="5" applyFont="1" applyBorder="1" applyAlignment="1">
      <alignment horizontal="center" wrapText="1"/>
    </xf>
    <xf numFmtId="0" fontId="17" fillId="7" borderId="19" xfId="5" applyFont="1" applyBorder="1" applyAlignment="1">
      <alignment horizontal="center"/>
    </xf>
    <xf numFmtId="0" fontId="18" fillId="7" borderId="52" xfId="5" applyFont="1" applyBorder="1" applyAlignment="1">
      <alignment horizontal="center" wrapText="1"/>
    </xf>
    <xf numFmtId="0" fontId="18" fillId="7" borderId="53" xfId="5" applyFont="1" applyBorder="1" applyAlignment="1">
      <alignment horizontal="center" wrapText="1"/>
    </xf>
    <xf numFmtId="0" fontId="17" fillId="7" borderId="54" xfId="5" applyFont="1" applyBorder="1" applyAlignment="1">
      <alignment horizontal="center"/>
    </xf>
    <xf numFmtId="1" fontId="6" fillId="7" borderId="54" xfId="5" applyNumberFormat="1" applyBorder="1" applyAlignment="1">
      <alignment horizontal="center"/>
    </xf>
    <xf numFmtId="1" fontId="6" fillId="7" borderId="55" xfId="5" applyNumberFormat="1" applyBorder="1" applyAlignment="1">
      <alignment horizontal="center"/>
    </xf>
    <xf numFmtId="1" fontId="6" fillId="7" borderId="26" xfId="5" applyNumberFormat="1" applyBorder="1" applyAlignment="1">
      <alignment horizontal="center"/>
    </xf>
    <xf numFmtId="1" fontId="6" fillId="7" borderId="56" xfId="5" applyNumberFormat="1" applyBorder="1" applyAlignment="1">
      <alignment horizontal="center"/>
    </xf>
    <xf numFmtId="0" fontId="6" fillId="7" borderId="19" xfId="5" applyBorder="1" applyAlignment="1">
      <alignment horizontal="center"/>
    </xf>
    <xf numFmtId="0" fontId="19" fillId="6" borderId="51" xfId="4" applyFont="1" applyBorder="1" applyAlignment="1">
      <alignment horizontal="left"/>
    </xf>
    <xf numFmtId="0" fontId="19" fillId="6" borderId="12" xfId="4" applyFont="1" applyAlignment="1">
      <alignment horizontal="center"/>
    </xf>
    <xf numFmtId="0" fontId="20" fillId="6" borderId="51" xfId="4" quotePrefix="1" applyFont="1" applyBorder="1" applyAlignment="1">
      <alignment horizontal="center" wrapText="1"/>
    </xf>
    <xf numFmtId="0" fontId="20" fillId="6" borderId="12" xfId="4" quotePrefix="1" applyFont="1" applyAlignment="1">
      <alignment horizontal="center" wrapText="1"/>
    </xf>
    <xf numFmtId="1" fontId="20" fillId="6" borderId="51" xfId="4" applyNumberFormat="1" applyFont="1" applyBorder="1" applyAlignment="1">
      <alignment horizontal="center"/>
    </xf>
    <xf numFmtId="1" fontId="20" fillId="6" borderId="12" xfId="4" applyNumberFormat="1" applyFont="1" applyAlignment="1">
      <alignment horizontal="center"/>
    </xf>
    <xf numFmtId="1" fontId="20" fillId="6" borderId="37" xfId="4" applyNumberFormat="1" applyFont="1" applyBorder="1" applyAlignment="1">
      <alignment horizontal="center"/>
    </xf>
    <xf numFmtId="0" fontId="6" fillId="7" borderId="13" xfId="5" quotePrefix="1" applyAlignment="1">
      <alignment horizontal="center" wrapText="1"/>
    </xf>
    <xf numFmtId="0" fontId="9" fillId="0" borderId="0" xfId="0" applyFont="1" applyAlignment="1">
      <alignment horizontal="left"/>
    </xf>
    <xf numFmtId="0" fontId="9" fillId="0" borderId="0" xfId="0" applyFont="1"/>
    <xf numFmtId="0" fontId="21" fillId="7" borderId="33" xfId="5" applyFont="1" applyBorder="1" applyAlignment="1">
      <alignment horizontal="left"/>
    </xf>
    <xf numFmtId="0" fontId="8" fillId="8" borderId="0" xfId="6" applyFont="1" applyAlignment="1">
      <alignment horizontal="center" wrapText="1"/>
    </xf>
    <xf numFmtId="1" fontId="1" fillId="12" borderId="46" xfId="10" applyNumberFormat="1" applyBorder="1" applyAlignment="1">
      <alignment horizontal="center"/>
    </xf>
    <xf numFmtId="1" fontId="1" fillId="12" borderId="38" xfId="10" applyNumberFormat="1" applyBorder="1" applyAlignment="1">
      <alignment horizontal="center"/>
    </xf>
    <xf numFmtId="1" fontId="1" fillId="12" borderId="39" xfId="10" applyNumberFormat="1" applyBorder="1" applyAlignment="1">
      <alignment horizontal="center"/>
    </xf>
    <xf numFmtId="1" fontId="1" fillId="12" borderId="40" xfId="10" applyNumberFormat="1" applyBorder="1" applyAlignment="1">
      <alignment horizontal="center"/>
    </xf>
    <xf numFmtId="1" fontId="1" fillId="12" borderId="21" xfId="10" applyNumberFormat="1" applyBorder="1" applyAlignment="1">
      <alignment horizontal="center"/>
    </xf>
    <xf numFmtId="1" fontId="1" fillId="12" borderId="47" xfId="10" applyNumberFormat="1" applyBorder="1" applyAlignment="1">
      <alignment horizontal="center"/>
    </xf>
    <xf numFmtId="1" fontId="1" fillId="12" borderId="48" xfId="10" applyNumberFormat="1" applyBorder="1" applyAlignment="1">
      <alignment horizontal="center"/>
    </xf>
    <xf numFmtId="1" fontId="1" fillId="12" borderId="49" xfId="10" applyNumberFormat="1" applyBorder="1" applyAlignment="1">
      <alignment horizontal="center"/>
    </xf>
    <xf numFmtId="164" fontId="0" fillId="0" borderId="0" xfId="0" applyNumberFormat="1"/>
    <xf numFmtId="1" fontId="4" fillId="0" borderId="9" xfId="0" applyNumberFormat="1" applyFont="1" applyBorder="1"/>
    <xf numFmtId="1" fontId="6" fillId="7" borderId="13" xfId="5" applyNumberFormat="1" applyAlignment="1">
      <alignment horizontal="center" vertical="center" wrapText="1"/>
    </xf>
    <xf numFmtId="1" fontId="4" fillId="0" borderId="0" xfId="0" applyNumberFormat="1" applyFont="1"/>
    <xf numFmtId="1" fontId="0" fillId="0" borderId="0" xfId="0" applyNumberFormat="1"/>
    <xf numFmtId="1" fontId="12" fillId="10" borderId="12" xfId="8" applyNumberFormat="1" applyAlignment="1">
      <alignment horizontal="center" vertical="center" wrapText="1"/>
    </xf>
    <xf numFmtId="1" fontId="4" fillId="5" borderId="9" xfId="0" applyNumberFormat="1" applyFont="1" applyFill="1" applyBorder="1"/>
    <xf numFmtId="1" fontId="19" fillId="6" borderId="12" xfId="4" applyNumberFormat="1" applyFont="1" applyAlignment="1">
      <alignment horizontal="center"/>
    </xf>
    <xf numFmtId="0" fontId="6" fillId="7" borderId="58" xfId="5" applyBorder="1" applyAlignment="1">
      <alignment horizontal="left"/>
    </xf>
    <xf numFmtId="0" fontId="18" fillId="7" borderId="36" xfId="5" applyFont="1" applyBorder="1" applyAlignment="1">
      <alignment horizontal="center" wrapText="1"/>
    </xf>
    <xf numFmtId="0" fontId="13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6" fillId="7" borderId="13" xfId="5" applyAlignment="1">
      <alignment horizontal="center" vertical="top"/>
    </xf>
    <xf numFmtId="0" fontId="5" fillId="6" borderId="12" xfId="4" applyAlignment="1">
      <alignment horizontal="center" vertical="top"/>
    </xf>
    <xf numFmtId="0" fontId="3" fillId="0" borderId="59" xfId="0" applyFont="1" applyBorder="1" applyAlignment="1">
      <alignment vertical="top" wrapText="1"/>
    </xf>
    <xf numFmtId="0" fontId="6" fillId="7" borderId="13" xfId="5" applyAlignment="1">
      <alignment vertical="top" wrapText="1"/>
    </xf>
    <xf numFmtId="0" fontId="6" fillId="7" borderId="13" xfId="5" applyAlignment="1">
      <alignment vertical="top"/>
    </xf>
    <xf numFmtId="0" fontId="1" fillId="12" borderId="12" xfId="10" applyBorder="1" applyAlignment="1">
      <alignment horizontal="left" vertical="top" wrapText="1"/>
    </xf>
    <xf numFmtId="0" fontId="1" fillId="12" borderId="12" xfId="10" applyBorder="1" applyAlignment="1">
      <alignment vertical="top" wrapText="1"/>
    </xf>
    <xf numFmtId="0" fontId="6" fillId="7" borderId="61" xfId="5" applyBorder="1" applyAlignment="1">
      <alignment vertical="top"/>
    </xf>
    <xf numFmtId="0" fontId="1" fillId="13" borderId="12" xfId="11" applyBorder="1" applyAlignment="1">
      <alignment horizontal="center" vertical="top"/>
    </xf>
    <xf numFmtId="0" fontId="1" fillId="13" borderId="12" xfId="11" applyBorder="1" applyAlignment="1">
      <alignment vertical="top" wrapText="1"/>
    </xf>
    <xf numFmtId="0" fontId="1" fillId="13" borderId="12" xfId="11" applyBorder="1" applyAlignment="1">
      <alignment vertical="top"/>
    </xf>
    <xf numFmtId="9" fontId="1" fillId="13" borderId="12" xfId="1" applyFill="1" applyBorder="1" applyAlignment="1">
      <alignment horizontal="center" vertical="top"/>
    </xf>
    <xf numFmtId="0" fontId="1" fillId="14" borderId="12" xfId="13" applyBorder="1" applyAlignment="1">
      <alignment horizontal="center" vertical="top"/>
    </xf>
    <xf numFmtId="0" fontId="1" fillId="14" borderId="0" xfId="13" applyAlignment="1">
      <alignment vertical="top"/>
    </xf>
    <xf numFmtId="0" fontId="1" fillId="14" borderId="13" xfId="13" applyBorder="1" applyAlignment="1">
      <alignment horizontal="center" vertical="top"/>
    </xf>
    <xf numFmtId="0" fontId="3" fillId="3" borderId="14" xfId="3" applyFont="1" applyBorder="1" applyAlignment="1">
      <alignment vertical="top" wrapText="1"/>
    </xf>
    <xf numFmtId="0" fontId="9" fillId="0" borderId="0" xfId="0" applyFont="1" applyAlignment="1">
      <alignment horizontal="left" vertical="top"/>
    </xf>
    <xf numFmtId="1" fontId="5" fillId="6" borderId="12" xfId="4" applyNumberFormat="1" applyAlignment="1">
      <alignment horizontal="center"/>
    </xf>
    <xf numFmtId="1" fontId="11" fillId="6" borderId="12" xfId="4" applyNumberFormat="1" applyFont="1" applyAlignment="1">
      <alignment horizontal="center" vertical="center" wrapText="1"/>
    </xf>
    <xf numFmtId="1" fontId="13" fillId="14" borderId="12" xfId="13" applyNumberFormat="1" applyFont="1" applyBorder="1" applyAlignment="1">
      <alignment horizontal="center" vertical="center" wrapText="1"/>
    </xf>
    <xf numFmtId="1" fontId="15" fillId="6" borderId="12" xfId="4" applyNumberFormat="1" applyFont="1" applyAlignment="1">
      <alignment horizontal="center"/>
    </xf>
    <xf numFmtId="0" fontId="3" fillId="3" borderId="14" xfId="3" applyFont="1" applyBorder="1" applyAlignment="1">
      <alignment horizontal="center" vertical="top" wrapText="1"/>
    </xf>
    <xf numFmtId="0" fontId="23" fillId="5" borderId="9" xfId="0" applyFont="1" applyFill="1" applyBorder="1"/>
    <xf numFmtId="0" fontId="3" fillId="3" borderId="10" xfId="3" applyFont="1" applyBorder="1"/>
    <xf numFmtId="0" fontId="1" fillId="14" borderId="0" xfId="13" applyAlignment="1">
      <alignment horizontal="left"/>
    </xf>
    <xf numFmtId="0" fontId="14" fillId="3" borderId="37" xfId="3" applyFont="1" applyBorder="1" applyAlignment="1">
      <alignment vertical="top"/>
    </xf>
    <xf numFmtId="0" fontId="14" fillId="3" borderId="62" xfId="3" applyFont="1" applyBorder="1" applyAlignment="1">
      <alignment vertical="top" wrapText="1"/>
    </xf>
    <xf numFmtId="0" fontId="24" fillId="10" borderId="12" xfId="8" applyFont="1" applyAlignment="1">
      <alignment horizontal="center"/>
    </xf>
    <xf numFmtId="9" fontId="24" fillId="10" borderId="12" xfId="1" applyFont="1" applyFill="1" applyBorder="1" applyAlignment="1">
      <alignment horizontal="center"/>
    </xf>
    <xf numFmtId="9" fontId="25" fillId="13" borderId="12" xfId="11" applyNumberFormat="1" applyFont="1" applyBorder="1" applyAlignment="1">
      <alignment horizontal="center" vertical="top" wrapText="1"/>
    </xf>
    <xf numFmtId="0" fontId="26" fillId="10" borderId="12" xfId="8" applyFont="1" applyAlignment="1">
      <alignment horizontal="center"/>
    </xf>
    <xf numFmtId="0" fontId="1" fillId="14" borderId="0" xfId="13" applyAlignment="1">
      <alignment horizontal="center"/>
    </xf>
    <xf numFmtId="0" fontId="15" fillId="6" borderId="37" xfId="4" applyFont="1" applyBorder="1" applyAlignment="1">
      <alignment horizontal="center"/>
    </xf>
    <xf numFmtId="9" fontId="24" fillId="10" borderId="51" xfId="1" applyFont="1" applyFill="1" applyBorder="1" applyAlignment="1">
      <alignment horizontal="center"/>
    </xf>
    <xf numFmtId="9" fontId="1" fillId="13" borderId="51" xfId="11" applyNumberFormat="1" applyBorder="1" applyAlignment="1">
      <alignment horizontal="center" vertical="top" wrapText="1"/>
    </xf>
    <xf numFmtId="9" fontId="25" fillId="13" borderId="51" xfId="11" applyNumberFormat="1" applyFont="1" applyBorder="1" applyAlignment="1">
      <alignment horizontal="center" vertical="top" wrapText="1"/>
    </xf>
    <xf numFmtId="0" fontId="24" fillId="10" borderId="63" xfId="8" applyFont="1" applyBorder="1" applyAlignment="1">
      <alignment horizontal="center"/>
    </xf>
    <xf numFmtId="0" fontId="24" fillId="10" borderId="64" xfId="8" applyFont="1" applyBorder="1" applyAlignment="1">
      <alignment horizontal="center"/>
    </xf>
    <xf numFmtId="0" fontId="24" fillId="10" borderId="65" xfId="8" applyFont="1" applyBorder="1" applyAlignment="1">
      <alignment horizontal="center"/>
    </xf>
    <xf numFmtId="1" fontId="5" fillId="6" borderId="66" xfId="4" applyNumberFormat="1" applyBorder="1" applyAlignment="1">
      <alignment horizontal="center"/>
    </xf>
    <xf numFmtId="0" fontId="17" fillId="7" borderId="55" xfId="5" applyFont="1" applyBorder="1" applyAlignment="1">
      <alignment horizontal="center" wrapText="1"/>
    </xf>
    <xf numFmtId="1" fontId="22" fillId="6" borderId="60" xfId="12" applyNumberFormat="1" applyAlignment="1">
      <alignment horizontal="center"/>
    </xf>
    <xf numFmtId="1" fontId="22" fillId="6" borderId="60" xfId="12" applyNumberFormat="1" applyAlignment="1">
      <alignment horizontal="center" wrapText="1"/>
    </xf>
    <xf numFmtId="1" fontId="22" fillId="6" borderId="60" xfId="12" applyNumberFormat="1" applyAlignment="1">
      <alignment horizontal="center" vertical="top" wrapText="1"/>
    </xf>
    <xf numFmtId="0" fontId="19" fillId="6" borderId="12" xfId="4" applyFont="1" applyAlignment="1">
      <alignment horizontal="center" vertical="top" wrapText="1"/>
    </xf>
    <xf numFmtId="0" fontId="6" fillId="7" borderId="13" xfId="5" quotePrefix="1" applyAlignment="1">
      <alignment horizontal="center" vertical="top" wrapText="1"/>
    </xf>
    <xf numFmtId="0" fontId="17" fillId="7" borderId="19" xfId="5" applyFont="1" applyBorder="1" applyAlignment="1">
      <alignment horizontal="center" vertical="top"/>
    </xf>
    <xf numFmtId="0" fontId="17" fillId="7" borderId="54" xfId="5" applyFont="1" applyBorder="1" applyAlignment="1">
      <alignment horizontal="center" vertical="top"/>
    </xf>
    <xf numFmtId="0" fontId="17" fillId="7" borderId="55" xfId="5" applyFont="1" applyBorder="1" applyAlignment="1">
      <alignment horizontal="center" vertical="top"/>
    </xf>
    <xf numFmtId="0" fontId="20" fillId="6" borderId="51" xfId="4" quotePrefix="1" applyFont="1" applyBorder="1" applyAlignment="1">
      <alignment horizontal="center" vertical="top" wrapText="1"/>
    </xf>
    <xf numFmtId="0" fontId="20" fillId="6" borderId="12" xfId="4" quotePrefix="1" applyFont="1" applyAlignment="1">
      <alignment horizontal="center" vertical="top" wrapText="1"/>
    </xf>
    <xf numFmtId="0" fontId="17" fillId="7" borderId="0" xfId="5" applyFont="1" applyBorder="1" applyAlignment="1">
      <alignment horizontal="center" vertical="top"/>
    </xf>
    <xf numFmtId="1" fontId="3" fillId="11" borderId="41" xfId="9" applyNumberFormat="1" applyFont="1" applyBorder="1" applyAlignment="1">
      <alignment horizontal="center" vertical="top"/>
    </xf>
    <xf numFmtId="1" fontId="1" fillId="12" borderId="46" xfId="10" applyNumberFormat="1" applyBorder="1" applyAlignment="1">
      <alignment horizontal="center" vertical="top"/>
    </xf>
    <xf numFmtId="1" fontId="3" fillId="11" borderId="20" xfId="9" applyNumberFormat="1" applyFont="1" applyBorder="1" applyAlignment="1">
      <alignment horizontal="center" vertical="top"/>
    </xf>
    <xf numFmtId="1" fontId="1" fillId="12" borderId="21" xfId="10" applyNumberFormat="1" applyBorder="1" applyAlignment="1">
      <alignment horizontal="center" vertical="top"/>
    </xf>
    <xf numFmtId="0" fontId="6" fillId="7" borderId="0" xfId="5" applyBorder="1" applyAlignment="1">
      <alignment horizontal="center" vertical="top"/>
    </xf>
    <xf numFmtId="0" fontId="6" fillId="7" borderId="34" xfId="5" applyBorder="1" applyAlignment="1">
      <alignment horizontal="center" vertical="top"/>
    </xf>
    <xf numFmtId="0" fontId="6" fillId="7" borderId="35" xfId="5" applyBorder="1" applyAlignment="1">
      <alignment horizontal="center" vertical="top"/>
    </xf>
    <xf numFmtId="0" fontId="8" fillId="8" borderId="0" xfId="6" applyFont="1" applyAlignment="1">
      <alignment horizontal="center" vertical="top"/>
    </xf>
    <xf numFmtId="1" fontId="8" fillId="2" borderId="1" xfId="2" applyNumberFormat="1" applyFont="1" applyBorder="1" applyAlignment="1">
      <alignment horizontal="center" vertical="top"/>
    </xf>
    <xf numFmtId="1" fontId="8" fillId="2" borderId="3" xfId="2" applyNumberFormat="1" applyFont="1" applyBorder="1" applyAlignment="1">
      <alignment horizontal="center" vertical="top"/>
    </xf>
    <xf numFmtId="1" fontId="8" fillId="2" borderId="16" xfId="2" applyNumberFormat="1" applyFont="1" applyBorder="1" applyAlignment="1">
      <alignment horizontal="center" vertical="top"/>
    </xf>
    <xf numFmtId="1" fontId="8" fillId="2" borderId="17" xfId="2" applyNumberFormat="1" applyFont="1" applyBorder="1" applyAlignment="1">
      <alignment horizontal="center" vertical="top"/>
    </xf>
    <xf numFmtId="0" fontId="8" fillId="2" borderId="17" xfId="2" applyFont="1" applyBorder="1" applyAlignment="1">
      <alignment vertical="top"/>
    </xf>
    <xf numFmtId="0" fontId="8" fillId="2" borderId="18" xfId="2" applyFont="1" applyBorder="1" applyAlignment="1">
      <alignment vertical="top"/>
    </xf>
    <xf numFmtId="0" fontId="18" fillId="7" borderId="52" xfId="5" applyFont="1" applyBorder="1" applyAlignment="1">
      <alignment horizontal="center" vertical="top" wrapText="1"/>
    </xf>
    <xf numFmtId="0" fontId="18" fillId="7" borderId="53" xfId="5" applyFont="1" applyBorder="1" applyAlignment="1">
      <alignment horizontal="center" vertical="top" wrapText="1"/>
    </xf>
    <xf numFmtId="0" fontId="18" fillId="7" borderId="50" xfId="5" applyFont="1" applyBorder="1" applyAlignment="1">
      <alignment horizontal="center" vertical="top" wrapText="1"/>
    </xf>
    <xf numFmtId="0" fontId="18" fillId="7" borderId="57" xfId="5" applyFont="1" applyBorder="1" applyAlignment="1">
      <alignment horizontal="center" vertical="top" wrapText="1"/>
    </xf>
    <xf numFmtId="0" fontId="18" fillId="7" borderId="19" xfId="5" applyFont="1" applyBorder="1" applyAlignment="1">
      <alignment horizontal="center" vertical="top" wrapText="1"/>
    </xf>
    <xf numFmtId="0" fontId="19" fillId="6" borderId="51" xfId="4" applyFont="1" applyBorder="1" applyAlignment="1">
      <alignment horizontal="left" vertical="top"/>
    </xf>
    <xf numFmtId="0" fontId="19" fillId="6" borderId="12" xfId="4" applyFont="1" applyAlignment="1">
      <alignment horizontal="center" vertical="top"/>
    </xf>
    <xf numFmtId="0" fontId="18" fillId="7" borderId="36" xfId="5" applyFont="1" applyBorder="1" applyAlignment="1">
      <alignment horizontal="center" vertical="top" wrapText="1"/>
    </xf>
    <xf numFmtId="1" fontId="16" fillId="11" borderId="41" xfId="9" applyNumberFormat="1" applyFont="1" applyBorder="1" applyAlignment="1">
      <alignment horizontal="center" vertical="top"/>
    </xf>
    <xf numFmtId="1" fontId="1" fillId="12" borderId="42" xfId="10" applyNumberFormat="1" applyBorder="1" applyAlignment="1">
      <alignment horizontal="center" vertical="top"/>
    </xf>
    <xf numFmtId="0" fontId="11" fillId="7" borderId="33" xfId="5" applyFont="1" applyBorder="1" applyAlignment="1">
      <alignment horizontal="center" vertical="top" wrapText="1"/>
    </xf>
    <xf numFmtId="0" fontId="11" fillId="7" borderId="28" xfId="5" applyFont="1" applyBorder="1" applyAlignment="1">
      <alignment horizontal="center" vertical="top" wrapText="1"/>
    </xf>
    <xf numFmtId="0" fontId="11" fillId="7" borderId="29" xfId="5" applyFont="1" applyBorder="1" applyAlignment="1">
      <alignment horizontal="center" vertical="top" wrapText="1"/>
    </xf>
    <xf numFmtId="0" fontId="8" fillId="2" borderId="1" xfId="2" applyFont="1" applyBorder="1" applyAlignment="1">
      <alignment horizontal="left" vertical="top"/>
    </xf>
    <xf numFmtId="0" fontId="8" fillId="2" borderId="2" xfId="2" applyFont="1" applyBorder="1" applyAlignment="1">
      <alignment vertical="top"/>
    </xf>
    <xf numFmtId="0" fontId="8" fillId="2" borderId="3" xfId="2" applyFont="1" applyBorder="1" applyAlignment="1">
      <alignment vertical="top"/>
    </xf>
    <xf numFmtId="2" fontId="8" fillId="2" borderId="0" xfId="2" applyNumberFormat="1" applyFont="1" applyBorder="1" applyAlignment="1">
      <alignment horizontal="center"/>
    </xf>
    <xf numFmtId="1" fontId="4" fillId="0" borderId="0" xfId="0" applyNumberFormat="1" applyFont="1"/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" fontId="4" fillId="4" borderId="10" xfId="0" applyNumberFormat="1" applyFont="1" applyFill="1" applyBorder="1" applyAlignment="1">
      <alignment horizontal="center"/>
    </xf>
    <xf numFmtId="1" fontId="4" fillId="4" borderId="11" xfId="0" applyNumberFormat="1" applyFont="1" applyFill="1" applyBorder="1" applyAlignment="1">
      <alignment horizontal="center"/>
    </xf>
  </cellXfs>
  <cellStyles count="14">
    <cellStyle name="20% - Accent1" xfId="10" builtinId="30"/>
    <cellStyle name="20% - Accent2" xfId="3" builtinId="34"/>
    <cellStyle name="20% - Accent3" xfId="11" builtinId="38"/>
    <cellStyle name="20% - Accent5" xfId="9" builtinId="46"/>
    <cellStyle name="40% - Accent6" xfId="13" builtinId="51"/>
    <cellStyle name="Accent6" xfId="6" builtinId="49"/>
    <cellStyle name="Calculation" xfId="4" builtinId="22"/>
    <cellStyle name="Check Cell" xfId="5" builtinId="23"/>
    <cellStyle name="Good" xfId="2" builtinId="26"/>
    <cellStyle name="Input" xfId="8" builtinId="20"/>
    <cellStyle name="Normal" xfId="0" builtinId="0"/>
    <cellStyle name="Note" xfId="7" builtinId="10"/>
    <cellStyle name="Output" xfId="12" builtinId="21"/>
    <cellStyle name="Percent" xfId="1" builtinId="5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0099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theme="0"/>
      </font>
      <fill>
        <patternFill patternType="solid">
          <bgColor rgb="FF00990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theme="0"/>
      </font>
      <fill>
        <patternFill patternType="solid">
          <bgColor rgb="FF0099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7C8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 patternType="solid">
          <bgColor rgb="FF0099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009900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SFOC!$J$6:$J$16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SFOC!$K$6:$K$16</c:f>
              <c:numCache>
                <c:formatCode>0</c:formatCode>
                <c:ptCount val="11"/>
                <c:pt idx="0">
                  <c:v>308.39999999999998</c:v>
                </c:pt>
                <c:pt idx="1">
                  <c:v>284.39999999999998</c:v>
                </c:pt>
                <c:pt idx="2">
                  <c:v>260.39999999999998</c:v>
                </c:pt>
                <c:pt idx="3">
                  <c:v>240.3</c:v>
                </c:pt>
                <c:pt idx="4">
                  <c:v>229.2</c:v>
                </c:pt>
                <c:pt idx="5">
                  <c:v>218.3</c:v>
                </c:pt>
                <c:pt idx="6">
                  <c:v>213.2</c:v>
                </c:pt>
                <c:pt idx="7">
                  <c:v>208.5</c:v>
                </c:pt>
                <c:pt idx="8">
                  <c:v>207.2</c:v>
                </c:pt>
                <c:pt idx="9">
                  <c:v>211.4</c:v>
                </c:pt>
                <c:pt idx="10">
                  <c:v>215.60000000000002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C-47DF-976B-FEDA4B663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08736"/>
        <c:axId val="819412672"/>
      </c:scatterChart>
      <c:valAx>
        <c:axId val="8194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12672"/>
        <c:crosses val="autoZero"/>
        <c:crossBetween val="midCat"/>
      </c:valAx>
      <c:valAx>
        <c:axId val="8194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0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SFOC!$G$6:$G$16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SFOC!$H$6:$H$16</c:f>
              <c:numCache>
                <c:formatCode>0</c:formatCode>
                <c:ptCount val="11"/>
                <c:pt idx="0">
                  <c:v>315.79999999999995</c:v>
                </c:pt>
                <c:pt idx="1">
                  <c:v>289.89999999999998</c:v>
                </c:pt>
                <c:pt idx="2">
                  <c:v>264</c:v>
                </c:pt>
                <c:pt idx="3">
                  <c:v>244.8</c:v>
                </c:pt>
                <c:pt idx="4">
                  <c:v>226.2</c:v>
                </c:pt>
                <c:pt idx="5">
                  <c:v>218.2</c:v>
                </c:pt>
                <c:pt idx="6">
                  <c:v>211.3</c:v>
                </c:pt>
                <c:pt idx="7">
                  <c:v>207.5</c:v>
                </c:pt>
                <c:pt idx="8">
                  <c:v>208.4</c:v>
                </c:pt>
                <c:pt idx="9">
                  <c:v>210.3</c:v>
                </c:pt>
                <c:pt idx="10">
                  <c:v>212.20000000000005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9-42C8-A3FE-8279C9E3A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690456"/>
        <c:axId val="1133690784"/>
      </c:scatterChart>
      <c:valAx>
        <c:axId val="1133690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90784"/>
        <c:crosses val="autoZero"/>
        <c:crossBetween val="midCat"/>
      </c:valAx>
      <c:valAx>
        <c:axId val="11336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90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SFOC!$D$6:$D$16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SFOC!$E$6:$E$16</c:f>
              <c:numCache>
                <c:formatCode>0</c:formatCode>
                <c:ptCount val="11"/>
                <c:pt idx="0">
                  <c:v>299.59999999999991</c:v>
                </c:pt>
                <c:pt idx="1">
                  <c:v>285.39999999999998</c:v>
                </c:pt>
                <c:pt idx="2">
                  <c:v>271.2</c:v>
                </c:pt>
                <c:pt idx="3">
                  <c:v>249.6</c:v>
                </c:pt>
                <c:pt idx="4">
                  <c:v>231.7</c:v>
                </c:pt>
                <c:pt idx="5">
                  <c:v>222.5</c:v>
                </c:pt>
                <c:pt idx="6">
                  <c:v>214</c:v>
                </c:pt>
                <c:pt idx="7">
                  <c:v>210.3</c:v>
                </c:pt>
                <c:pt idx="8">
                  <c:v>205.4</c:v>
                </c:pt>
                <c:pt idx="9">
                  <c:v>212.3</c:v>
                </c:pt>
                <c:pt idx="10">
                  <c:v>219.20000000000002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6-4B59-A48E-39102882B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589712"/>
        <c:axId val="1250587088"/>
      </c:scatterChart>
      <c:valAx>
        <c:axId val="12505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87088"/>
        <c:crosses val="autoZero"/>
        <c:crossBetween val="midCat"/>
      </c:valAx>
      <c:valAx>
        <c:axId val="12505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SFOC!$A$6:$A$16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SFOC!$B$6:$B$16</c:f>
              <c:numCache>
                <c:formatCode>0</c:formatCode>
                <c:ptCount val="11"/>
                <c:pt idx="0">
                  <c:v>305.30000000000007</c:v>
                </c:pt>
                <c:pt idx="1">
                  <c:v>285.10000000000002</c:v>
                </c:pt>
                <c:pt idx="2">
                  <c:v>264.89999999999998</c:v>
                </c:pt>
                <c:pt idx="3">
                  <c:v>244.9</c:v>
                </c:pt>
                <c:pt idx="4">
                  <c:v>227.5</c:v>
                </c:pt>
                <c:pt idx="5">
                  <c:v>219.5</c:v>
                </c:pt>
                <c:pt idx="6">
                  <c:v>214</c:v>
                </c:pt>
                <c:pt idx="7">
                  <c:v>209.2</c:v>
                </c:pt>
                <c:pt idx="8">
                  <c:v>206.8</c:v>
                </c:pt>
                <c:pt idx="9">
                  <c:v>213.1</c:v>
                </c:pt>
                <c:pt idx="10">
                  <c:v>219.39999999999995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F-4FA5-97AB-4ACECC178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976752"/>
        <c:axId val="1011985936"/>
      </c:scatterChart>
      <c:valAx>
        <c:axId val="101197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85936"/>
        <c:crosses val="autoZero"/>
        <c:crossBetween val="midCat"/>
      </c:valAx>
      <c:valAx>
        <c:axId val="10119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7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SFOC!$A$22:$A$32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SFOC!$B$22:$B$32</c:f>
              <c:numCache>
                <c:formatCode>0</c:formatCode>
                <c:ptCount val="11"/>
                <c:pt idx="0">
                  <c:v>343.30000000000007</c:v>
                </c:pt>
                <c:pt idx="1">
                  <c:v>318.60000000000002</c:v>
                </c:pt>
                <c:pt idx="2">
                  <c:v>293.89999999999998</c:v>
                </c:pt>
                <c:pt idx="3">
                  <c:v>258.5</c:v>
                </c:pt>
                <c:pt idx="4">
                  <c:v>244.4</c:v>
                </c:pt>
                <c:pt idx="5">
                  <c:v>235</c:v>
                </c:pt>
                <c:pt idx="6">
                  <c:v>225.5</c:v>
                </c:pt>
                <c:pt idx="7">
                  <c:v>221.9</c:v>
                </c:pt>
                <c:pt idx="8">
                  <c:v>219.8</c:v>
                </c:pt>
                <c:pt idx="9">
                  <c:v>221.6</c:v>
                </c:pt>
                <c:pt idx="10">
                  <c:v>223.39999999999998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D-4F71-8AE2-CCE2EF4E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055304"/>
        <c:axId val="1056055632"/>
      </c:scatterChart>
      <c:valAx>
        <c:axId val="105605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55632"/>
        <c:crosses val="autoZero"/>
        <c:crossBetween val="midCat"/>
      </c:valAx>
      <c:valAx>
        <c:axId val="10560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055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SFOC!$D$22:$D$32</c:f>
              <c:numCache>
                <c:formatCode>0</c:formatCode>
                <c:ptCount val="11"/>
                <c:pt idx="0">
                  <c:v>0.1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SFOC!$E$22:$E$32</c:f>
              <c:numCache>
                <c:formatCode>0</c:formatCode>
                <c:ptCount val="11"/>
                <c:pt idx="0">
                  <c:v>336.09999999999991</c:v>
                </c:pt>
                <c:pt idx="1">
                  <c:v>308.89999999999998</c:v>
                </c:pt>
                <c:pt idx="2">
                  <c:v>281.7</c:v>
                </c:pt>
                <c:pt idx="3">
                  <c:v>258.89999999999998</c:v>
                </c:pt>
                <c:pt idx="4">
                  <c:v>238.7</c:v>
                </c:pt>
                <c:pt idx="5">
                  <c:v>228.3</c:v>
                </c:pt>
                <c:pt idx="6">
                  <c:v>223.5</c:v>
                </c:pt>
                <c:pt idx="7">
                  <c:v>217.1</c:v>
                </c:pt>
                <c:pt idx="8">
                  <c:v>216.7</c:v>
                </c:pt>
                <c:pt idx="9">
                  <c:v>218.8</c:v>
                </c:pt>
                <c:pt idx="10">
                  <c:v>220.90000000000003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6-4A77-B72B-B42438C33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21552"/>
        <c:axId val="2112615976"/>
      </c:scatterChart>
      <c:valAx>
        <c:axId val="211262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15976"/>
        <c:crosses val="autoZero"/>
        <c:crossBetween val="midCat"/>
      </c:valAx>
      <c:valAx>
        <c:axId val="21126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62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400050</xdr:colOff>
      <xdr:row>3</xdr:row>
      <xdr:rowOff>42862</xdr:rowOff>
    </xdr:from>
    <xdr:to>
      <xdr:col>27</xdr:col>
      <xdr:colOff>523875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238125</xdr:colOff>
      <xdr:row>3</xdr:row>
      <xdr:rowOff>33337</xdr:rowOff>
    </xdr:from>
    <xdr:to>
      <xdr:col>23</xdr:col>
      <xdr:colOff>357187</xdr:colOff>
      <xdr:row>16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214312</xdr:colOff>
      <xdr:row>3</xdr:row>
      <xdr:rowOff>42862</xdr:rowOff>
    </xdr:from>
    <xdr:to>
      <xdr:col>19</xdr:col>
      <xdr:colOff>228600</xdr:colOff>
      <xdr:row>16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176213</xdr:colOff>
      <xdr:row>3</xdr:row>
      <xdr:rowOff>52387</xdr:rowOff>
    </xdr:from>
    <xdr:to>
      <xdr:col>15</xdr:col>
      <xdr:colOff>190501</xdr:colOff>
      <xdr:row>16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300037</xdr:colOff>
      <xdr:row>19</xdr:row>
      <xdr:rowOff>4762</xdr:rowOff>
    </xdr:from>
    <xdr:to>
      <xdr:col>9</xdr:col>
      <xdr:colOff>371475</xdr:colOff>
      <xdr:row>32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433387</xdr:colOff>
      <xdr:row>19</xdr:row>
      <xdr:rowOff>4762</xdr:rowOff>
    </xdr:from>
    <xdr:to>
      <xdr:col>13</xdr:col>
      <xdr:colOff>428625</xdr:colOff>
      <xdr:row>31</xdr:row>
      <xdr:rowOff>200025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0</xdr:colOff>
      <xdr:row>23</xdr:row>
      <xdr:rowOff>0</xdr:rowOff>
    </xdr:from>
    <xdr:to>
      <xdr:col>24</xdr:col>
      <xdr:colOff>58948</xdr:colOff>
      <xdr:row>32</xdr:row>
      <xdr:rowOff>49866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EE4EA-AF11-4A1B-ABF4-AAA1B5DC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15525" y="4505325"/>
          <a:ext cx="4935748" cy="1792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B2B8-E6EB-4036-B49E-5664EDA4EF2B}">
  <dimension ref="A1:AQ85"/>
  <sheetViews>
    <sheetView tabSelected="1" zoomScale="70" zoomScaleNormal="70" workbookViewId="0">
      <selection activeCell="P7" sqref="P7"/>
    </sheetView>
  </sheetViews>
  <sheetFormatPr defaultRowHeight="15" x14ac:dyDescent="0.25"/>
  <cols>
    <col min="1" max="1" width="20.42578125" customWidth="1"/>
    <col min="2" max="2" width="16.5703125" style="1" bestFit="1" customWidth="1"/>
    <col min="3" max="3" width="9.140625" style="1" bestFit="1" customWidth="1"/>
    <col min="4" max="7" width="7.28515625" style="1" bestFit="1" customWidth="1"/>
    <col min="8" max="8" width="22.42578125" style="27" customWidth="1"/>
    <col min="9" max="9" width="12.7109375" style="27" customWidth="1"/>
    <col min="10" max="10" width="12.28515625" style="1" customWidth="1"/>
    <col min="11" max="12" width="11.7109375" style="1" customWidth="1"/>
    <col min="13" max="13" width="13.5703125" style="1" customWidth="1"/>
    <col min="14" max="14" width="13" style="1" customWidth="1"/>
    <col min="15" max="15" width="11.7109375" style="1" customWidth="1"/>
    <col min="16" max="16" width="15.140625" style="1" bestFit="1" customWidth="1"/>
    <col min="17" max="17" width="14.140625" style="1" customWidth="1"/>
    <col min="18" max="18" width="11.7109375" style="1" customWidth="1"/>
    <col min="19" max="19" width="8.7109375" style="1" customWidth="1"/>
    <col min="20" max="20" width="9" style="1" customWidth="1"/>
    <col min="21" max="21" width="9.28515625" style="1" customWidth="1"/>
    <col min="22" max="22" width="10.28515625" style="1" customWidth="1"/>
    <col min="23" max="23" width="9.140625" style="1"/>
    <col min="24" max="24" width="11.140625" style="1" bestFit="1" customWidth="1"/>
    <col min="25" max="25" width="11.7109375" style="1" bestFit="1" customWidth="1"/>
    <col min="26" max="28" width="9.140625" style="1"/>
    <col min="29" max="29" width="11.7109375" style="1" customWidth="1"/>
    <col min="30" max="30" width="10.28515625" customWidth="1"/>
    <col min="31" max="32" width="10.140625" customWidth="1"/>
    <col min="39" max="39" width="12.7109375" bestFit="1" customWidth="1"/>
  </cols>
  <sheetData>
    <row r="1" spans="1:38" ht="30" x14ac:dyDescent="0.25">
      <c r="A1" s="108"/>
      <c r="B1" s="108"/>
      <c r="C1" s="108"/>
      <c r="D1" s="108"/>
      <c r="E1" s="108"/>
      <c r="I1" s="109" t="s">
        <v>0</v>
      </c>
      <c r="J1" s="27"/>
      <c r="L1" s="129" t="s">
        <v>1</v>
      </c>
      <c r="P1" s="116" t="s">
        <v>2</v>
      </c>
      <c r="Q1" s="128" t="s">
        <v>3</v>
      </c>
      <c r="R1" s="128" t="s">
        <v>4</v>
      </c>
      <c r="Y1" s="135" t="s">
        <v>5</v>
      </c>
      <c r="Z1" s="136" t="s">
        <v>6</v>
      </c>
      <c r="AA1" s="19"/>
      <c r="AB1" s="19"/>
      <c r="AC1" s="19"/>
      <c r="AD1" s="19"/>
      <c r="AE1" s="20"/>
      <c r="AF1" s="1"/>
    </row>
    <row r="2" spans="1:38" ht="24.75" thickTop="1" thickBot="1" x14ac:dyDescent="0.4">
      <c r="A2" s="138" t="s">
        <v>7</v>
      </c>
      <c r="B2" s="138"/>
      <c r="C2" s="138"/>
      <c r="D2" s="138"/>
      <c r="E2" s="138"/>
      <c r="F2" s="138"/>
      <c r="G2" s="138"/>
      <c r="H2" s="138"/>
      <c r="I2" s="140">
        <v>1260</v>
      </c>
      <c r="J2" s="27"/>
      <c r="L2" s="138" t="s">
        <v>8</v>
      </c>
      <c r="M2" s="139"/>
      <c r="N2" s="139"/>
      <c r="O2" s="149">
        <v>0</v>
      </c>
      <c r="P2" s="142">
        <v>0</v>
      </c>
      <c r="Q2" s="131">
        <f>'Load Demands'!J5</f>
        <v>0</v>
      </c>
      <c r="R2" s="131">
        <f>'Load Demands'!L5</f>
        <v>0</v>
      </c>
      <c r="Y2" s="5"/>
      <c r="Z2" s="134" t="s">
        <v>9</v>
      </c>
      <c r="AA2" s="134" t="s">
        <v>10</v>
      </c>
      <c r="AB2" s="134" t="s">
        <v>11</v>
      </c>
      <c r="AC2" s="134" t="s">
        <v>12</v>
      </c>
      <c r="AD2" s="134" t="s">
        <v>13</v>
      </c>
      <c r="AE2" s="134" t="s">
        <v>14</v>
      </c>
    </row>
    <row r="3" spans="1:38" ht="23.25" x14ac:dyDescent="0.35">
      <c r="A3" s="138" t="s">
        <v>15</v>
      </c>
      <c r="B3" s="138"/>
      <c r="C3" s="138"/>
      <c r="D3" s="138"/>
      <c r="E3" s="138"/>
      <c r="F3" s="138"/>
      <c r="G3" s="138"/>
      <c r="H3" s="138"/>
      <c r="I3" s="140">
        <v>3000</v>
      </c>
      <c r="J3" s="27"/>
      <c r="L3" s="138" t="s">
        <v>16</v>
      </c>
      <c r="M3" s="138"/>
      <c r="N3" s="138"/>
      <c r="O3" s="150">
        <v>0</v>
      </c>
      <c r="P3" s="146">
        <v>0</v>
      </c>
      <c r="Q3" s="131">
        <f>'Load Demands'!J6</f>
        <v>0</v>
      </c>
      <c r="R3" s="131">
        <f>'Load Demands'!L6</f>
        <v>0</v>
      </c>
      <c r="Y3" s="6">
        <v>1E-3</v>
      </c>
      <c r="Z3" s="17">
        <v>174.476</v>
      </c>
      <c r="AA3" s="17">
        <v>174.476</v>
      </c>
      <c r="AB3" s="17">
        <v>228.4744</v>
      </c>
      <c r="AC3" s="17">
        <v>228.70287439999998</v>
      </c>
      <c r="AD3" s="17">
        <v>218.83278032000001</v>
      </c>
      <c r="AE3" s="17">
        <v>251.32184000000004</v>
      </c>
    </row>
    <row r="4" spans="1:38" ht="23.25" x14ac:dyDescent="0.35">
      <c r="A4" s="138" t="s">
        <v>17</v>
      </c>
      <c r="B4" s="138"/>
      <c r="C4" s="138"/>
      <c r="D4" s="138"/>
      <c r="E4" s="138"/>
      <c r="F4" s="138"/>
      <c r="G4" s="138"/>
      <c r="H4" s="138"/>
      <c r="I4" s="141">
        <v>0.05</v>
      </c>
      <c r="J4" s="27"/>
      <c r="L4" s="138" t="s">
        <v>18</v>
      </c>
      <c r="M4" s="138"/>
      <c r="N4" s="138"/>
      <c r="O4" s="151">
        <v>0</v>
      </c>
      <c r="P4" s="147"/>
      <c r="Q4" s="131">
        <f>'Load Demands'!J7</f>
        <v>0</v>
      </c>
      <c r="R4" s="131">
        <f>'Load Demands'!L7</f>
        <v>0</v>
      </c>
      <c r="Y4" s="6">
        <v>0.1</v>
      </c>
      <c r="Z4" s="3">
        <v>174.476</v>
      </c>
      <c r="AA4" s="3">
        <v>174.476</v>
      </c>
      <c r="AB4" s="3">
        <v>228.4744</v>
      </c>
      <c r="AC4" s="3">
        <v>228.70287439999998</v>
      </c>
      <c r="AD4" s="3">
        <v>218.83278032000001</v>
      </c>
      <c r="AE4" s="3">
        <v>251.32184000000004</v>
      </c>
    </row>
    <row r="5" spans="1:38" ht="23.25" x14ac:dyDescent="0.35">
      <c r="L5" s="138" t="s">
        <v>19</v>
      </c>
      <c r="M5" s="138"/>
      <c r="N5" s="138"/>
      <c r="O5" s="151">
        <v>11463</v>
      </c>
      <c r="P5" s="146">
        <v>0.05</v>
      </c>
      <c r="Q5" s="132">
        <f>-1*'Load Demands'!J8</f>
        <v>-200.60249999999985</v>
      </c>
      <c r="R5" s="131">
        <f>'Load Demands'!L8</f>
        <v>372.54749999999979</v>
      </c>
      <c r="S5" s="137" t="s">
        <v>20</v>
      </c>
      <c r="T5" s="144"/>
      <c r="Y5" s="6">
        <v>0.2</v>
      </c>
      <c r="Z5" s="3">
        <v>174.476</v>
      </c>
      <c r="AA5" s="3">
        <v>174.476</v>
      </c>
      <c r="AB5" s="3">
        <v>228</v>
      </c>
      <c r="AC5" s="3">
        <v>228.22799999999998</v>
      </c>
      <c r="AD5" s="3">
        <v>218.3784</v>
      </c>
      <c r="AE5" s="3">
        <v>250.8</v>
      </c>
    </row>
    <row r="6" spans="1:38" ht="23.25" x14ac:dyDescent="0.35">
      <c r="B6" s="84" t="s">
        <v>21</v>
      </c>
      <c r="L6" s="138" t="s">
        <v>22</v>
      </c>
      <c r="M6" s="138"/>
      <c r="N6" s="138"/>
      <c r="O6" s="151">
        <v>3800</v>
      </c>
      <c r="P6" s="148">
        <v>0.02</v>
      </c>
      <c r="Q6" s="131">
        <f>-1*'Load Demands'!J9</f>
        <v>-3.8000000000000003</v>
      </c>
      <c r="R6" s="131">
        <f>'Load Demands'!L9</f>
        <v>72.2</v>
      </c>
      <c r="Y6" s="6">
        <v>0.3</v>
      </c>
      <c r="Z6" s="3">
        <v>172.56800000000001</v>
      </c>
      <c r="AA6" s="3">
        <v>172.56800000000001</v>
      </c>
      <c r="AB6" s="3">
        <v>220</v>
      </c>
      <c r="AC6" s="3">
        <v>220.21999999999997</v>
      </c>
      <c r="AD6" s="3">
        <v>210.71600000000001</v>
      </c>
      <c r="AE6" s="3">
        <v>242.00000000000003</v>
      </c>
    </row>
    <row r="7" spans="1:38" ht="21.75" thickBot="1" x14ac:dyDescent="0.4">
      <c r="L7" s="145"/>
      <c r="M7" s="145"/>
      <c r="N7" s="145"/>
      <c r="O7" s="152">
        <f>SUM(O3:O6)</f>
        <v>15263</v>
      </c>
      <c r="Q7" s="130">
        <f>SUM(Q2:Q6)</f>
        <v>-204.40249999999986</v>
      </c>
      <c r="R7" s="130">
        <f>SUM(R2:R6)</f>
        <v>444.74749999999977</v>
      </c>
      <c r="Y7" s="6">
        <v>0.4</v>
      </c>
      <c r="Z7" s="3">
        <v>170</v>
      </c>
      <c r="AA7" s="3">
        <v>170</v>
      </c>
      <c r="AB7" s="3">
        <v>198</v>
      </c>
      <c r="AC7" s="3">
        <v>198.19799999999998</v>
      </c>
      <c r="AD7" s="3">
        <v>189.64439999999999</v>
      </c>
      <c r="AE7" s="3">
        <v>217.8</v>
      </c>
    </row>
    <row r="8" spans="1:38" ht="21" x14ac:dyDescent="0.35">
      <c r="B8" s="22" t="s">
        <v>23</v>
      </c>
      <c r="C8" s="22" t="s">
        <v>24</v>
      </c>
      <c r="D8" s="15" t="s">
        <v>25</v>
      </c>
      <c r="E8" s="15" t="s">
        <v>25</v>
      </c>
      <c r="F8" s="15" t="s">
        <v>25</v>
      </c>
      <c r="G8" s="15" t="s">
        <v>25</v>
      </c>
      <c r="H8" s="24" t="s">
        <v>26</v>
      </c>
      <c r="I8" s="24" t="s">
        <v>26</v>
      </c>
      <c r="L8" s="55" t="s">
        <v>27</v>
      </c>
      <c r="M8" s="56"/>
      <c r="N8" s="145"/>
      <c r="O8" s="145"/>
      <c r="P8" s="145"/>
      <c r="Q8" s="145"/>
      <c r="R8" s="133">
        <f>O7+R7</f>
        <v>15707.747499999999</v>
      </c>
      <c r="Y8" s="6">
        <v>0.5</v>
      </c>
      <c r="Z8" s="3">
        <v>166.42</v>
      </c>
      <c r="AA8" s="3">
        <v>166.42</v>
      </c>
      <c r="AB8" s="3">
        <v>198.06710000000001</v>
      </c>
      <c r="AC8" s="3">
        <v>198.26516709999999</v>
      </c>
      <c r="AD8" s="3">
        <v>189.70866838000001</v>
      </c>
      <c r="AE8" s="3">
        <v>217.87381000000002</v>
      </c>
    </row>
    <row r="9" spans="1:38" x14ac:dyDescent="0.25">
      <c r="B9" s="15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15" t="s">
        <v>14</v>
      </c>
      <c r="H9" s="25" t="s">
        <v>28</v>
      </c>
      <c r="I9" s="24" t="s">
        <v>25</v>
      </c>
      <c r="Y9" s="6">
        <v>0.6</v>
      </c>
      <c r="Z9" s="3">
        <v>166</v>
      </c>
      <c r="AA9" s="3">
        <v>166</v>
      </c>
      <c r="AB9" s="3">
        <v>195</v>
      </c>
      <c r="AC9" s="3">
        <v>195.19499999999996</v>
      </c>
      <c r="AD9" s="3">
        <v>186.77099999999999</v>
      </c>
      <c r="AE9" s="3">
        <v>214.50000000000003</v>
      </c>
    </row>
    <row r="10" spans="1:38" ht="15.75" x14ac:dyDescent="0.25">
      <c r="A10" s="16" t="s">
        <v>29</v>
      </c>
      <c r="B10" s="143">
        <v>24000</v>
      </c>
      <c r="C10" s="143">
        <v>24000</v>
      </c>
      <c r="D10" s="143">
        <v>4000</v>
      </c>
      <c r="E10" s="143">
        <v>4000</v>
      </c>
      <c r="F10" s="143">
        <v>4000</v>
      </c>
      <c r="G10" s="143">
        <v>4000</v>
      </c>
      <c r="H10" s="23">
        <f>SUM(B10:C10)</f>
        <v>48000</v>
      </c>
      <c r="I10" s="23">
        <f>SUM(D10:G10)</f>
        <v>16000</v>
      </c>
      <c r="Y10" s="6">
        <v>0.7</v>
      </c>
      <c r="Z10" s="3">
        <v>167.268</v>
      </c>
      <c r="AA10" s="3">
        <v>167.268</v>
      </c>
      <c r="AB10" s="3">
        <v>193.13488000000001</v>
      </c>
      <c r="AC10" s="3">
        <v>193.32801487999998</v>
      </c>
      <c r="AD10" s="3">
        <v>184.98458806400001</v>
      </c>
      <c r="AE10" s="3">
        <v>212.44836800000002</v>
      </c>
    </row>
    <row r="11" spans="1:38" ht="15.75" x14ac:dyDescent="0.25">
      <c r="A11" s="16" t="s">
        <v>30</v>
      </c>
      <c r="B11" s="143">
        <v>3250</v>
      </c>
      <c r="C11" s="143">
        <v>3250</v>
      </c>
      <c r="H11" s="43">
        <f>SUM(B11:C11)</f>
        <v>6500</v>
      </c>
      <c r="J11" s="18"/>
      <c r="R11" s="3"/>
      <c r="Y11" s="6">
        <v>0.8</v>
      </c>
      <c r="Z11" s="3">
        <v>168</v>
      </c>
      <c r="AA11" s="3">
        <v>168</v>
      </c>
      <c r="AB11" s="3">
        <v>193.36240000000001</v>
      </c>
      <c r="AC11" s="3">
        <v>193.55576239999999</v>
      </c>
      <c r="AD11" s="3">
        <v>185.20250672</v>
      </c>
      <c r="AE11" s="3">
        <v>212.69864000000004</v>
      </c>
    </row>
    <row r="12" spans="1:38" x14ac:dyDescent="0.25">
      <c r="A12" s="16" t="s">
        <v>31</v>
      </c>
      <c r="B12" s="23">
        <f>SUM(B10:B11)</f>
        <v>27250</v>
      </c>
      <c r="C12" s="23">
        <f>SUM(C10:C11)</f>
        <v>27250</v>
      </c>
      <c r="D12" s="43">
        <f>0</f>
        <v>0</v>
      </c>
      <c r="E12" s="43">
        <f>0</f>
        <v>0</v>
      </c>
      <c r="F12" s="43">
        <f>0</f>
        <v>0</v>
      </c>
      <c r="G12" s="43">
        <f>0</f>
        <v>0</v>
      </c>
      <c r="H12" s="43">
        <f>SUM(H10:H11)</f>
        <v>54500</v>
      </c>
      <c r="N12" t="s">
        <v>32</v>
      </c>
      <c r="Y12" s="6">
        <v>0.9</v>
      </c>
      <c r="Z12" s="3">
        <v>168.22200000000001</v>
      </c>
      <c r="AA12" s="3">
        <v>168.22200000000001</v>
      </c>
      <c r="AB12" s="3">
        <v>194</v>
      </c>
      <c r="AC12" s="3">
        <v>194.19399999999999</v>
      </c>
      <c r="AD12" s="3">
        <v>185.81319999999999</v>
      </c>
      <c r="AE12" s="3">
        <v>213.4</v>
      </c>
    </row>
    <row r="13" spans="1:38" ht="15.75" x14ac:dyDescent="0.25">
      <c r="A13" s="16" t="s">
        <v>33</v>
      </c>
      <c r="B13" s="143">
        <v>3250</v>
      </c>
      <c r="C13" s="143">
        <v>3250</v>
      </c>
      <c r="H13" s="43">
        <f>SUM(B13:C13)</f>
        <v>6500</v>
      </c>
      <c r="N13" t="s">
        <v>34</v>
      </c>
      <c r="Y13" s="6">
        <v>1</v>
      </c>
      <c r="Z13" s="17">
        <v>174.476</v>
      </c>
      <c r="AA13" s="17">
        <v>174.476</v>
      </c>
      <c r="AB13" s="17">
        <v>194.62899999999999</v>
      </c>
      <c r="AC13" s="17">
        <v>194.82362899999998</v>
      </c>
      <c r="AD13" s="17">
        <v>186.4156562</v>
      </c>
      <c r="AE13" s="17">
        <v>214.09190000000001</v>
      </c>
    </row>
    <row r="14" spans="1:38" x14ac:dyDescent="0.25">
      <c r="A14" s="16" t="s">
        <v>35</v>
      </c>
      <c r="B14" s="23">
        <f>B13</f>
        <v>3250</v>
      </c>
      <c r="C14" s="23">
        <f>C13</f>
        <v>3250</v>
      </c>
      <c r="D14" s="23">
        <f>D10</f>
        <v>4000</v>
      </c>
      <c r="E14" s="23">
        <f>E10</f>
        <v>4000</v>
      </c>
      <c r="F14" s="23">
        <f>F10</f>
        <v>4000</v>
      </c>
      <c r="G14" s="23">
        <f>G10</f>
        <v>4000</v>
      </c>
      <c r="H14" s="23">
        <f>SUM(H12:H13)</f>
        <v>61000</v>
      </c>
      <c r="O14" s="3"/>
      <c r="AD14" s="1"/>
    </row>
    <row r="15" spans="1:38" ht="15.75" thickBot="1" x14ac:dyDescent="0.3">
      <c r="S15"/>
      <c r="U15" s="3"/>
      <c r="W15" s="3"/>
      <c r="X15" s="3"/>
      <c r="Y15" s="3"/>
      <c r="Z15" s="3"/>
      <c r="AA15" s="3"/>
      <c r="AB15" s="3"/>
    </row>
    <row r="16" spans="1:38" ht="39" thickTop="1" thickBot="1" x14ac:dyDescent="0.35">
      <c r="J16" s="66" t="s">
        <v>36</v>
      </c>
      <c r="K16" s="68" t="s">
        <v>37</v>
      </c>
      <c r="L16" s="69"/>
      <c r="M16" s="76" t="s">
        <v>38</v>
      </c>
      <c r="N16" s="77"/>
      <c r="O16" s="77"/>
      <c r="P16" s="68" t="s">
        <v>39</v>
      </c>
      <c r="Q16" s="104"/>
      <c r="R16" s="69"/>
      <c r="S16" s="105"/>
      <c r="T16" s="64" t="s">
        <v>40</v>
      </c>
      <c r="U16" s="65"/>
      <c r="V16" s="64" t="s">
        <v>41</v>
      </c>
      <c r="W16" s="59"/>
      <c r="X16" s="154" t="s">
        <v>42</v>
      </c>
      <c r="Y16" s="154" t="s">
        <v>43</v>
      </c>
      <c r="Z16" s="86" t="s">
        <v>44</v>
      </c>
      <c r="AA16" s="50"/>
      <c r="AB16" s="50"/>
      <c r="AC16" s="50"/>
      <c r="AD16" s="50"/>
      <c r="AE16" s="51"/>
      <c r="AF16" s="87" t="s">
        <v>45</v>
      </c>
      <c r="AG16" s="42" t="s">
        <v>46</v>
      </c>
      <c r="AH16" s="7"/>
      <c r="AI16" s="7"/>
      <c r="AJ16" s="7"/>
      <c r="AK16" s="7"/>
      <c r="AL16" s="8"/>
    </row>
    <row r="17" spans="1:40" ht="111.75" customHeight="1" thickTop="1" thickBot="1" x14ac:dyDescent="0.3">
      <c r="B17" s="26" t="s">
        <v>9</v>
      </c>
      <c r="C17" s="26" t="s">
        <v>10</v>
      </c>
      <c r="D17" s="26" t="s">
        <v>11</v>
      </c>
      <c r="E17" s="26" t="s">
        <v>12</v>
      </c>
      <c r="F17" s="26" t="s">
        <v>13</v>
      </c>
      <c r="G17" s="26" t="s">
        <v>14</v>
      </c>
      <c r="H17" s="26"/>
      <c r="I17" s="83" t="s">
        <v>47</v>
      </c>
      <c r="J17" s="67" t="s">
        <v>48</v>
      </c>
      <c r="K17" s="70" t="s">
        <v>49</v>
      </c>
      <c r="L17" s="153" t="s">
        <v>50</v>
      </c>
      <c r="M17" s="78" t="s">
        <v>51</v>
      </c>
      <c r="N17" s="79" t="s">
        <v>52</v>
      </c>
      <c r="O17" s="79" t="s">
        <v>53</v>
      </c>
      <c r="P17" s="70" t="s">
        <v>54</v>
      </c>
      <c r="Q17" s="157" t="s">
        <v>55</v>
      </c>
      <c r="R17" s="153" t="s">
        <v>56</v>
      </c>
      <c r="S17" s="83" t="s">
        <v>57</v>
      </c>
      <c r="T17" s="58" t="s">
        <v>58</v>
      </c>
      <c r="U17" s="88" t="s">
        <v>59</v>
      </c>
      <c r="V17" s="60" t="s">
        <v>60</v>
      </c>
      <c r="W17" s="92" t="s">
        <v>61</v>
      </c>
      <c r="X17" s="155" t="s">
        <v>62</v>
      </c>
      <c r="Y17" s="156" t="s">
        <v>63</v>
      </c>
      <c r="Z17" s="52" t="s">
        <v>9</v>
      </c>
      <c r="AA17" s="52" t="s">
        <v>10</v>
      </c>
      <c r="AB17" s="53" t="s">
        <v>11</v>
      </c>
      <c r="AC17" s="53" t="s">
        <v>12</v>
      </c>
      <c r="AD17" s="53" t="s">
        <v>13</v>
      </c>
      <c r="AE17" s="54" t="s">
        <v>14</v>
      </c>
      <c r="AF17" s="36">
        <f>MIN(AF18:AF75)</f>
        <v>344</v>
      </c>
      <c r="AG17" s="30" t="s">
        <v>64</v>
      </c>
      <c r="AH17" s="21" t="str">
        <f>IF(AND($AF16=$AF$17,C17=1),C$9,"")</f>
        <v/>
      </c>
      <c r="AI17" s="32" t="s">
        <v>25</v>
      </c>
      <c r="AJ17" s="33" t="str">
        <f>IF(AND($AF16=$AF$17,E17=1),E$9,"")</f>
        <v/>
      </c>
      <c r="AK17" s="34"/>
      <c r="AL17" s="35"/>
    </row>
    <row r="18" spans="1:40" ht="16.5" thickTop="1" thickBot="1" x14ac:dyDescent="0.3">
      <c r="A18" t="s">
        <v>65</v>
      </c>
      <c r="D18" s="1">
        <v>1</v>
      </c>
      <c r="H18" s="28" t="str">
        <f>IF($R$8&gt;$J18,"Insufficient pwr",IF(OR(($M18-$T18-$V18)&gt;0,$X18&lt;$Q$5),"Insufficient PTI",IF(OR(($M18+$U18+$W18)&lt;0,$Y18&lt;$Q$5),"Insufficient PTO",IF(($P18-$R18)&lt;0,"Insufficient AUX",""))))</f>
        <v>Insufficient pwr</v>
      </c>
      <c r="I18" s="29">
        <f t="shared" ref="I18:I49" si="0">$R$8/$J18</f>
        <v>3.926936875</v>
      </c>
      <c r="J18" s="75">
        <f t="shared" ref="J18:J49" si="1">B18*B$10+D18*D$10+E18*E$10+F18*F$10+G18*G$10+C18*C$10</f>
        <v>4000</v>
      </c>
      <c r="K18" s="71">
        <f t="shared" ref="K18:K49" si="2">IF($B18,$B$10)+IF($C18,$C$10)</f>
        <v>0</v>
      </c>
      <c r="L18" s="72">
        <f t="shared" ref="L18:L49" si="3">(IF($B18,$B$10)+IF($C18,$C$10))*$I18</f>
        <v>0</v>
      </c>
      <c r="M18" s="80">
        <f>$O$5-$L18</f>
        <v>11463</v>
      </c>
      <c r="N18" s="81">
        <f t="shared" ref="N18:N49" si="4">IF(AND($B18="",$M18&gt;0),MIN($M18,$B$11),0)</f>
        <v>3250</v>
      </c>
      <c r="O18" s="82">
        <f>IF($M18&lt;0,0,$M18-$N18-$V18)</f>
        <v>4963</v>
      </c>
      <c r="P18" s="71">
        <f t="shared" ref="P18:P49" si="5">IF($D18,$D$10)+IF($E18,$E$10)+IF($F18,$F$10)+IF($G18,$G$10)</f>
        <v>4000</v>
      </c>
      <c r="Q18" s="103">
        <f>IF($M18&lt;0,0,$M18*$I$4)</f>
        <v>573.15</v>
      </c>
      <c r="R18" s="72">
        <f t="shared" ref="R18:R49" si="6">(IF($D18,$D$10)+IF($E18,$E$10)+IF($F18,$F$10)+IF($G18,$G$10))*$I18+$Q18</f>
        <v>16280.897499999999</v>
      </c>
      <c r="S18" s="29">
        <f>IF($P18=0,0,$R18/$P18)</f>
        <v>4.0702243749999996</v>
      </c>
      <c r="T18" s="61">
        <f t="shared" ref="T18:T49" si="7">IF($M18&lt;0,0,MIN(($N18+$O18),$B$11))</f>
        <v>3250</v>
      </c>
      <c r="U18" s="89">
        <f t="shared" ref="U18:U49" si="8">IF(AND($B18=1,$M18&lt;0),MIN(ABS($M18),$B$13),0)</f>
        <v>0</v>
      </c>
      <c r="V18" s="61">
        <f t="shared" ref="V18:V49" si="9">IF($M18&lt;0,0,MIN(($M18-$N18),$C$11))</f>
        <v>3250</v>
      </c>
      <c r="W18" s="93">
        <f t="shared" ref="W18:W49" si="10">IF(AND($C18=1,$M18&lt;0),MIN((ABS($M18)-$U18),$C$13),0)</f>
        <v>0</v>
      </c>
      <c r="X18" s="154">
        <f t="shared" ref="X18:X49" si="11">IF(IF(U18&gt;0,0,$B$11-T18)+IF(W18&gt;0,0,$C$11-V18)&gt;$Q$5,$Q$5,IF(U18&gt;0,0,$B$11-T18)+IF(W18&gt;0,0,$C$11-V18))</f>
        <v>-200.60249999999985</v>
      </c>
      <c r="Y18" s="154">
        <f>IF(IF(T18&gt;0,0,$B$11-U18)+IF(V18&gt;0,0,$C$11-W18)&gt;$Q$5,$Q$5,IF(T18&gt;0,0,$B$11-U18)+IF(V18&gt;0,0,$C$11-W18))</f>
        <v>-200.60249999999985</v>
      </c>
      <c r="Z18" s="57" t="str">
        <f>IF(OR(B18="",NOT($H18="")),"",ROUND(_xlfn.FORECAST.LINEAR($I18,INDEX(Z$3:Z$13,MATCH($I18,$Y$3:$Y$13,1)):INDEX(Z$3:Z$13,MATCH($I18,$Y$3:$Y$13,1)+1),INDEX($Y$3:$Y$13,MATCH($I18,$Y$3:$Y$13,1)):INDEX($Y$3:$Y$13,MATCH($I18,$Y$3:$Y$13,1)+1)),0))</f>
        <v/>
      </c>
      <c r="AA18" s="37" t="str">
        <f>IF(OR(C18="",NOT($H18="")),"",ROUND(_xlfn.FORECAST.LINEAR($I18,INDEX(AA$3:AA$13,MATCH($I18,$Y$3:$Y$13,1)):INDEX(AA$3:AA$13,MATCH($I18,$Y$3:$Y$13,1)+1),INDEX($Y$3:$Y$13,MATCH($I18,$Y$3:$Y$13,1)):INDEX($Y$3:$Y$13,MATCH($I18,$Y$3:$Y$13,1)+1)),0))</f>
        <v/>
      </c>
      <c r="AB18" s="44" t="str">
        <f>IF(OR(D18="",NOT($H18="")),"",ROUND(_xlfn.FORECAST.LINEAR($S18,INDEX(AB$3:AB$13,MATCH($S18,$Y$3:$Y$13,1)):INDEX(AB$3:AB$13,MATCH($S18,$Y$3:$Y$13,1)+1),INDEX($Y$3:$Y$13,MATCH($S18,$Y$3:$Y$13,1)):INDEX($Y$3:$Y$13,MATCH($S18,$Y$3:$Y$13,1)+1)),0))</f>
        <v/>
      </c>
      <c r="AC18" s="45" t="str">
        <f>IF(OR(E18="",NOT($H18="")),"",ROUND(_xlfn.FORECAST.LINEAR($S18,INDEX(AC$3:AC$13,MATCH($S18,$Y$3:$Y$13,1)):INDEX(AC$3:AC$13,MATCH($S18,$Y$3:$Y$13,1)+1),INDEX($Y$3:$Y$13,MATCH($S18,$Y$3:$Y$13,1)):INDEX($Y$3:$Y$13,MATCH($S18,$Y$3:$Y$13,1)+1)),0))</f>
        <v/>
      </c>
      <c r="AD18" s="45" t="str">
        <f>IF(OR(F18="",NOT($H18="")),"",ROUND(_xlfn.FORECAST.LINEAR($S18,INDEX(AD$3:AD$13,MATCH($S18,$Y$3:$Y$13,1)):INDEX(AD$3:AD$13,MATCH($S18,$Y$3:$Y$13,1)+1),INDEX($Y$3:$Y$13,MATCH($S18,$Y$3:$Y$13,1)):INDEX($Y$3:$Y$13,MATCH($S18,$Y$3:$Y$13,1)+1)),0))</f>
        <v/>
      </c>
      <c r="AE18" s="46" t="str">
        <f>IF(OR(G18="",NOT($H18="")),"",ROUND(_xlfn.FORECAST.LINEAR($S18,INDEX(AE$3:AE$13,MATCH($S18,$Y$3:$Y$13,1)):INDEX(AE$3:AE$13,MATCH($S18,$Y$3:$Y$13,1)+1),INDEX($Y$3:$Y$13,MATCH($S18,$Y$3:$Y$13,1)):INDEX($Y$3:$Y$13,MATCH($S18,$Y$3:$Y$13,1)+1)),0))</f>
        <v/>
      </c>
      <c r="AF18" s="26" t="str">
        <f t="shared" ref="AF18:AF49" si="12">IF($H18="",SUM(Z18:AE18),"")</f>
        <v/>
      </c>
      <c r="AG18" s="30" t="str">
        <f t="shared" ref="AG18:AG49" si="13">IF(AND($AF18=$AF$17,B18=1),B$9,"")</f>
        <v/>
      </c>
      <c r="AH18" s="21" t="str">
        <f t="shared" ref="AH18:AH49" si="14">IF(AND($AF18=$AF$17,C18=1),C$9,"")</f>
        <v/>
      </c>
      <c r="AI18" s="30" t="str">
        <f t="shared" ref="AI18:AI49" si="15">IF(AND($AF18=$AF$17,D18=1),D$9,"")</f>
        <v/>
      </c>
      <c r="AJ18" s="31" t="str">
        <f t="shared" ref="AJ18:AJ49" si="16">IF(AND($AF18=$AF$17,E18=1),E$9,"")</f>
        <v/>
      </c>
      <c r="AK18" s="31" t="str">
        <f t="shared" ref="AK18:AK49" si="17">IF(AND($AF18=$AF$17,F18=1),F$9,"")</f>
        <v/>
      </c>
      <c r="AL18" s="21" t="str">
        <f t="shared" ref="AL18:AL49" si="18">IF(AND($AF18=$AF$17,G18=1),G$9,"")</f>
        <v/>
      </c>
    </row>
    <row r="19" spans="1:40" ht="16.5" thickTop="1" thickBot="1" x14ac:dyDescent="0.3">
      <c r="E19" s="1">
        <v>1</v>
      </c>
      <c r="H19" s="28" t="str">
        <f t="shared" ref="H19:H75" si="19">IF($R$8&gt;$J19,"Insufficient pwr",IF(OR(($M19-$T19-$V19)&gt;0,$X19&lt;$Q$5),"Insufficient PTI",IF(OR(($M19+$U19+$W19)&lt;0,$Y19&lt;$Q$5),"Insufficient PTO",IF(($P19-$R19)&lt;0,"Insufficient AUX",""))))</f>
        <v>Insufficient pwr</v>
      </c>
      <c r="I19" s="29">
        <f t="shared" si="0"/>
        <v>3.926936875</v>
      </c>
      <c r="J19" s="75">
        <f t="shared" si="1"/>
        <v>4000</v>
      </c>
      <c r="K19" s="71">
        <f t="shared" si="2"/>
        <v>0</v>
      </c>
      <c r="L19" s="72">
        <f t="shared" si="3"/>
        <v>0</v>
      </c>
      <c r="M19" s="80">
        <f t="shared" ref="M19:M75" si="20">$O$5-$L19</f>
        <v>11463</v>
      </c>
      <c r="N19" s="81">
        <f t="shared" si="4"/>
        <v>3250</v>
      </c>
      <c r="O19" s="82">
        <f t="shared" ref="O19:O50" si="21">IF($M19&lt;0,0,$M19+$Q19-$N19-$V19)</f>
        <v>5536.15</v>
      </c>
      <c r="P19" s="71">
        <f t="shared" si="5"/>
        <v>4000</v>
      </c>
      <c r="Q19" s="103">
        <f t="shared" ref="Q19:Q75" si="22">IF($M19&lt;0,0,$M19*$I$4)</f>
        <v>573.15</v>
      </c>
      <c r="R19" s="72">
        <f t="shared" si="6"/>
        <v>16280.897499999999</v>
      </c>
      <c r="S19" s="29">
        <f t="shared" ref="S19:S75" si="23">IF($P19=0,0,$R19/$P19)</f>
        <v>4.0702243749999996</v>
      </c>
      <c r="T19" s="62">
        <f t="shared" si="7"/>
        <v>3250</v>
      </c>
      <c r="U19" s="90">
        <f t="shared" si="8"/>
        <v>0</v>
      </c>
      <c r="V19" s="62">
        <f t="shared" si="9"/>
        <v>3250</v>
      </c>
      <c r="W19" s="94">
        <f t="shared" si="10"/>
        <v>0</v>
      </c>
      <c r="X19" s="154">
        <f t="shared" si="11"/>
        <v>-200.60249999999985</v>
      </c>
      <c r="Y19" s="154">
        <f t="shared" ref="Y19:Y75" si="24">IF(IF(T19&gt;0,0,$B$11-U19)+IF(V19&gt;0,0,$C$11-W19)&gt;$Q$5,$Q$5,IF(T19&gt;0,0,$B$11-U19)+IF(V19&gt;0,0,$C$11-W19))</f>
        <v>-200.60249999999985</v>
      </c>
      <c r="Z19" s="1" t="str">
        <f>IF(OR(B19="",NOT($H19="")),"",ROUND(_xlfn.FORECAST.LINEAR($I19,INDEX(Z$3:Z$13,MATCH($I19,$Y$3:$Y$13,1)):INDEX(Z$3:Z$13,MATCH($I19,$Y$3:$Y$13,1)+1),INDEX($Y$3:$Y$13,MATCH($I19,$Y$3:$Y$13,1)):INDEX($Y$3:$Y$13,MATCH($I19,$Y$3:$Y$13,1)+1)),0))</f>
        <v/>
      </c>
      <c r="AA19" s="39" t="str">
        <f>IF(OR(C19="",NOT($H19="")),"",ROUND(_xlfn.FORECAST.LINEAR($I19,INDEX(AA$3:AA$13,MATCH($I19,$Y$3:$Y$13,1)):INDEX(AA$3:AA$13,MATCH($I19,$Y$3:$Y$13,1)+1),INDEX($Y$3:$Y$13,MATCH($I19,$Y$3:$Y$13,1)):INDEX($Y$3:$Y$13,MATCH($I19,$Y$3:$Y$13,1)+1)),0))</f>
        <v/>
      </c>
      <c r="AB19" s="38" t="str">
        <f>IF(OR(D19="",NOT($H19="")),"",ROUND(_xlfn.FORECAST.LINEAR($S19,INDEX(AB$3:AB$13,MATCH($S19,$Y$3:$Y$13,1)):INDEX(AB$3:AB$13,MATCH($S19,$Y$3:$Y$13,1)+1),INDEX($Y$3:$Y$13,MATCH($S19,$Y$3:$Y$13,1)):INDEX($Y$3:$Y$13,MATCH($S19,$Y$3:$Y$13,1)+1)),0))</f>
        <v/>
      </c>
      <c r="AC19" s="1" t="str">
        <f>IF(OR(E19="",NOT($H19="")),"",ROUND(_xlfn.FORECAST.LINEAR($S19,INDEX(AC$3:AC$13,MATCH($S19,$Y$3:$Y$13,1)):INDEX(AC$3:AC$13,MATCH($S19,$Y$3:$Y$13,1)+1),INDEX($Y$3:$Y$13,MATCH($S19,$Y$3:$Y$13,1)):INDEX($Y$3:$Y$13,MATCH($S19,$Y$3:$Y$13,1)+1)),0))</f>
        <v/>
      </c>
      <c r="AD19" s="1" t="str">
        <f>IF(OR(F19="",NOT($H19="")),"",ROUND(_xlfn.FORECAST.LINEAR($S19,INDEX(AD$3:AD$13,MATCH($S19,$Y$3:$Y$13,1)):INDEX(AD$3:AD$13,MATCH($S19,$Y$3:$Y$13,1)+1),INDEX($Y$3:$Y$13,MATCH($S19,$Y$3:$Y$13,1)):INDEX($Y$3:$Y$13,MATCH($S19,$Y$3:$Y$13,1)+1)),0))</f>
        <v/>
      </c>
      <c r="AE19" s="47" t="str">
        <f>IF(OR(G19="",NOT($H19="")),"",ROUND(_xlfn.FORECAST.LINEAR($S19,INDEX(AE$3:AE$13,MATCH($S19,$Y$3:$Y$13,1)):INDEX(AE$3:AE$13,MATCH($S19,$Y$3:$Y$13,1)+1),INDEX($Y$3:$Y$13,MATCH($S19,$Y$3:$Y$13,1)):INDEX($Y$3:$Y$13,MATCH($S19,$Y$3:$Y$13,1)+1)),0))</f>
        <v/>
      </c>
      <c r="AF19" s="26" t="str">
        <f t="shared" si="12"/>
        <v/>
      </c>
      <c r="AG19" s="9" t="str">
        <f t="shared" si="13"/>
        <v/>
      </c>
      <c r="AH19" s="11" t="str">
        <f t="shared" si="14"/>
        <v/>
      </c>
      <c r="AI19" s="9" t="str">
        <f t="shared" si="15"/>
        <v/>
      </c>
      <c r="AJ19" s="10" t="str">
        <f t="shared" si="16"/>
        <v/>
      </c>
      <c r="AK19" s="10" t="str">
        <f t="shared" si="17"/>
        <v/>
      </c>
      <c r="AL19" s="11" t="str">
        <f t="shared" si="18"/>
        <v/>
      </c>
    </row>
    <row r="20" spans="1:40" ht="16.5" thickTop="1" thickBot="1" x14ac:dyDescent="0.3">
      <c r="F20" s="1">
        <v>1</v>
      </c>
      <c r="H20" s="28" t="str">
        <f t="shared" si="19"/>
        <v>Insufficient pwr</v>
      </c>
      <c r="I20" s="29">
        <f t="shared" si="0"/>
        <v>3.926936875</v>
      </c>
      <c r="J20" s="75">
        <f t="shared" si="1"/>
        <v>4000</v>
      </c>
      <c r="K20" s="71">
        <f t="shared" si="2"/>
        <v>0</v>
      </c>
      <c r="L20" s="72">
        <f t="shared" si="3"/>
        <v>0</v>
      </c>
      <c r="M20" s="80">
        <f t="shared" si="20"/>
        <v>11463</v>
      </c>
      <c r="N20" s="81">
        <f t="shared" si="4"/>
        <v>3250</v>
      </c>
      <c r="O20" s="82">
        <f t="shared" si="21"/>
        <v>5536.15</v>
      </c>
      <c r="P20" s="71">
        <f t="shared" si="5"/>
        <v>4000</v>
      </c>
      <c r="Q20" s="103">
        <f t="shared" si="22"/>
        <v>573.15</v>
      </c>
      <c r="R20" s="72">
        <f t="shared" si="6"/>
        <v>16280.897499999999</v>
      </c>
      <c r="S20" s="29">
        <f t="shared" si="23"/>
        <v>4.0702243749999996</v>
      </c>
      <c r="T20" s="62">
        <f t="shared" si="7"/>
        <v>3250</v>
      </c>
      <c r="U20" s="90">
        <f t="shared" si="8"/>
        <v>0</v>
      </c>
      <c r="V20" s="62">
        <f t="shared" si="9"/>
        <v>3250</v>
      </c>
      <c r="W20" s="94">
        <f t="shared" si="10"/>
        <v>0</v>
      </c>
      <c r="X20" s="154">
        <f t="shared" si="11"/>
        <v>-200.60249999999985</v>
      </c>
      <c r="Y20" s="154">
        <f t="shared" si="24"/>
        <v>-200.60249999999985</v>
      </c>
      <c r="Z20" s="1" t="str">
        <f>IF(OR(B20="",NOT($H20="")),"",ROUND(_xlfn.FORECAST.LINEAR($I20,INDEX(Z$3:Z$13,MATCH($I20,$Y$3:$Y$13,1)):INDEX(Z$3:Z$13,MATCH($I20,$Y$3:$Y$13,1)+1),INDEX($Y$3:$Y$13,MATCH($I20,$Y$3:$Y$13,1)):INDEX($Y$3:$Y$13,MATCH($I20,$Y$3:$Y$13,1)+1)),0))</f>
        <v/>
      </c>
      <c r="AA20" s="39" t="str">
        <f>IF(OR(C20="",NOT($H20="")),"",ROUND(_xlfn.FORECAST.LINEAR($I20,INDEX(AA$3:AA$13,MATCH($I20,$Y$3:$Y$13,1)):INDEX(AA$3:AA$13,MATCH($I20,$Y$3:$Y$13,1)+1),INDEX($Y$3:$Y$13,MATCH($I20,$Y$3:$Y$13,1)):INDEX($Y$3:$Y$13,MATCH($I20,$Y$3:$Y$13,1)+1)),0))</f>
        <v/>
      </c>
      <c r="AB20" s="38" t="str">
        <f>IF(OR(D20="",NOT($H20="")),"",ROUND(_xlfn.FORECAST.LINEAR($S20,INDEX(AB$3:AB$13,MATCH($S20,$Y$3:$Y$13,1)):INDEX(AB$3:AB$13,MATCH($S20,$Y$3:$Y$13,1)+1),INDEX($Y$3:$Y$13,MATCH($S20,$Y$3:$Y$13,1)):INDEX($Y$3:$Y$13,MATCH($S20,$Y$3:$Y$13,1)+1)),0))</f>
        <v/>
      </c>
      <c r="AC20" s="1" t="str">
        <f>IF(OR(E20="",NOT($H20="")),"",ROUND(_xlfn.FORECAST.LINEAR($S20,INDEX(AC$3:AC$13,MATCH($S20,$Y$3:$Y$13,1)):INDEX(AC$3:AC$13,MATCH($S20,$Y$3:$Y$13,1)+1),INDEX($Y$3:$Y$13,MATCH($S20,$Y$3:$Y$13,1)):INDEX($Y$3:$Y$13,MATCH($S20,$Y$3:$Y$13,1)+1)),0))</f>
        <v/>
      </c>
      <c r="AD20" s="1" t="str">
        <f>IF(OR(F20="",NOT($H20="")),"",ROUND(_xlfn.FORECAST.LINEAR($S20,INDEX(AD$3:AD$13,MATCH($S20,$Y$3:$Y$13,1)):INDEX(AD$3:AD$13,MATCH($S20,$Y$3:$Y$13,1)+1),INDEX($Y$3:$Y$13,MATCH($S20,$Y$3:$Y$13,1)):INDEX($Y$3:$Y$13,MATCH($S20,$Y$3:$Y$13,1)+1)),0))</f>
        <v/>
      </c>
      <c r="AE20" s="47" t="str">
        <f>IF(OR(G20="",NOT($H20="")),"",ROUND(_xlfn.FORECAST.LINEAR($S20,INDEX(AE$3:AE$13,MATCH($S20,$Y$3:$Y$13,1)):INDEX(AE$3:AE$13,MATCH($S20,$Y$3:$Y$13,1)+1),INDEX($Y$3:$Y$13,MATCH($S20,$Y$3:$Y$13,1)):INDEX($Y$3:$Y$13,MATCH($S20,$Y$3:$Y$13,1)+1)),0))</f>
        <v/>
      </c>
      <c r="AF20" s="26" t="str">
        <f t="shared" si="12"/>
        <v/>
      </c>
      <c r="AG20" s="9" t="str">
        <f t="shared" si="13"/>
        <v/>
      </c>
      <c r="AH20" s="11" t="str">
        <f t="shared" si="14"/>
        <v/>
      </c>
      <c r="AI20" s="9" t="str">
        <f t="shared" si="15"/>
        <v/>
      </c>
      <c r="AJ20" s="10" t="str">
        <f t="shared" si="16"/>
        <v/>
      </c>
      <c r="AK20" s="10" t="str">
        <f t="shared" si="17"/>
        <v/>
      </c>
      <c r="AL20" s="11" t="str">
        <f t="shared" si="18"/>
        <v/>
      </c>
    </row>
    <row r="21" spans="1:40" ht="16.5" thickTop="1" thickBot="1" x14ac:dyDescent="0.3">
      <c r="G21" s="1">
        <v>1</v>
      </c>
      <c r="H21" s="28" t="str">
        <f t="shared" si="19"/>
        <v>Insufficient pwr</v>
      </c>
      <c r="I21" s="29">
        <f t="shared" si="0"/>
        <v>3.926936875</v>
      </c>
      <c r="J21" s="75">
        <f t="shared" si="1"/>
        <v>4000</v>
      </c>
      <c r="K21" s="71">
        <f t="shared" si="2"/>
        <v>0</v>
      </c>
      <c r="L21" s="72">
        <f t="shared" si="3"/>
        <v>0</v>
      </c>
      <c r="M21" s="80">
        <f t="shared" si="20"/>
        <v>11463</v>
      </c>
      <c r="N21" s="81">
        <f t="shared" si="4"/>
        <v>3250</v>
      </c>
      <c r="O21" s="82">
        <f t="shared" si="21"/>
        <v>5536.15</v>
      </c>
      <c r="P21" s="71">
        <f t="shared" si="5"/>
        <v>4000</v>
      </c>
      <c r="Q21" s="103">
        <f t="shared" si="22"/>
        <v>573.15</v>
      </c>
      <c r="R21" s="72">
        <f t="shared" si="6"/>
        <v>16280.897499999999</v>
      </c>
      <c r="S21" s="29">
        <f t="shared" si="23"/>
        <v>4.0702243749999996</v>
      </c>
      <c r="T21" s="62">
        <f t="shared" si="7"/>
        <v>3250</v>
      </c>
      <c r="U21" s="90">
        <f t="shared" si="8"/>
        <v>0</v>
      </c>
      <c r="V21" s="62">
        <f t="shared" si="9"/>
        <v>3250</v>
      </c>
      <c r="W21" s="94">
        <f t="shared" si="10"/>
        <v>0</v>
      </c>
      <c r="X21" s="154">
        <f t="shared" si="11"/>
        <v>-200.60249999999985</v>
      </c>
      <c r="Y21" s="154">
        <f t="shared" si="24"/>
        <v>-200.60249999999985</v>
      </c>
      <c r="Z21" s="1" t="str">
        <f>IF(OR(B21="",NOT($H21="")),"",ROUND(_xlfn.FORECAST.LINEAR($I21,INDEX(Z$3:Z$13,MATCH($I21,$Y$3:$Y$13,1)):INDEX(Z$3:Z$13,MATCH($I21,$Y$3:$Y$13,1)+1),INDEX($Y$3:$Y$13,MATCH($I21,$Y$3:$Y$13,1)):INDEX($Y$3:$Y$13,MATCH($I21,$Y$3:$Y$13,1)+1)),0))</f>
        <v/>
      </c>
      <c r="AA21" s="39" t="str">
        <f>IF(OR(C21="",NOT($H21="")),"",ROUND(_xlfn.FORECAST.LINEAR($I21,INDEX(AA$3:AA$13,MATCH($I21,$Y$3:$Y$13,1)):INDEX(AA$3:AA$13,MATCH($I21,$Y$3:$Y$13,1)+1),INDEX($Y$3:$Y$13,MATCH($I21,$Y$3:$Y$13,1)):INDEX($Y$3:$Y$13,MATCH($I21,$Y$3:$Y$13,1)+1)),0))</f>
        <v/>
      </c>
      <c r="AB21" s="38" t="str">
        <f>IF(OR(D21="",NOT($H21="")),"",ROUND(_xlfn.FORECAST.LINEAR($S21,INDEX(AB$3:AB$13,MATCH($S21,$Y$3:$Y$13,1)):INDEX(AB$3:AB$13,MATCH($S21,$Y$3:$Y$13,1)+1),INDEX($Y$3:$Y$13,MATCH($S21,$Y$3:$Y$13,1)):INDEX($Y$3:$Y$13,MATCH($S21,$Y$3:$Y$13,1)+1)),0))</f>
        <v/>
      </c>
      <c r="AC21" s="1" t="str">
        <f>IF(OR(E21="",NOT($H21="")),"",ROUND(_xlfn.FORECAST.LINEAR($S21,INDEX(AC$3:AC$13,MATCH($S21,$Y$3:$Y$13,1)):INDEX(AC$3:AC$13,MATCH($S21,$Y$3:$Y$13,1)+1),INDEX($Y$3:$Y$13,MATCH($S21,$Y$3:$Y$13,1)):INDEX($Y$3:$Y$13,MATCH($S21,$Y$3:$Y$13,1)+1)),0))</f>
        <v/>
      </c>
      <c r="AD21" s="1" t="str">
        <f>IF(OR(F21="",NOT($H21="")),"",ROUND(_xlfn.FORECAST.LINEAR($S21,INDEX(AD$3:AD$13,MATCH($S21,$Y$3:$Y$13,1)):INDEX(AD$3:AD$13,MATCH($S21,$Y$3:$Y$13,1)+1),INDEX($Y$3:$Y$13,MATCH($S21,$Y$3:$Y$13,1)):INDEX($Y$3:$Y$13,MATCH($S21,$Y$3:$Y$13,1)+1)),0))</f>
        <v/>
      </c>
      <c r="AE21" s="47" t="str">
        <f>IF(OR(G21="",NOT($H21="")),"",ROUND(_xlfn.FORECAST.LINEAR($S21,INDEX(AE$3:AE$13,MATCH($S21,$Y$3:$Y$13,1)):INDEX(AE$3:AE$13,MATCH($S21,$Y$3:$Y$13,1)+1),INDEX($Y$3:$Y$13,MATCH($S21,$Y$3:$Y$13,1)):INDEX($Y$3:$Y$13,MATCH($S21,$Y$3:$Y$13,1)+1)),0))</f>
        <v/>
      </c>
      <c r="AF21" s="26" t="str">
        <f t="shared" si="12"/>
        <v/>
      </c>
      <c r="AG21" s="9" t="str">
        <f t="shared" si="13"/>
        <v/>
      </c>
      <c r="AH21" s="11" t="str">
        <f t="shared" si="14"/>
        <v/>
      </c>
      <c r="AI21" s="9" t="str">
        <f t="shared" si="15"/>
        <v/>
      </c>
      <c r="AJ21" s="10" t="str">
        <f t="shared" si="16"/>
        <v/>
      </c>
      <c r="AK21" s="10" t="str">
        <f t="shared" si="17"/>
        <v/>
      </c>
      <c r="AL21" s="11" t="str">
        <f t="shared" si="18"/>
        <v/>
      </c>
    </row>
    <row r="22" spans="1:40" ht="16.5" thickTop="1" thickBot="1" x14ac:dyDescent="0.3">
      <c r="B22" s="1">
        <v>1</v>
      </c>
      <c r="H22" s="28" t="str">
        <f t="shared" si="19"/>
        <v>Insufficient PTO</v>
      </c>
      <c r="I22" s="29">
        <f t="shared" si="0"/>
        <v>0.65448947916666667</v>
      </c>
      <c r="J22" s="75">
        <f t="shared" si="1"/>
        <v>24000</v>
      </c>
      <c r="K22" s="71">
        <f t="shared" si="2"/>
        <v>24000</v>
      </c>
      <c r="L22" s="72">
        <f t="shared" si="3"/>
        <v>15707.747499999999</v>
      </c>
      <c r="M22" s="80">
        <f t="shared" si="20"/>
        <v>-4244.7474999999995</v>
      </c>
      <c r="N22" s="81">
        <f t="shared" si="4"/>
        <v>0</v>
      </c>
      <c r="O22" s="82">
        <f t="shared" si="21"/>
        <v>0</v>
      </c>
      <c r="P22" s="71">
        <f t="shared" si="5"/>
        <v>0</v>
      </c>
      <c r="Q22" s="103">
        <f t="shared" si="22"/>
        <v>0</v>
      </c>
      <c r="R22" s="72">
        <f t="shared" si="6"/>
        <v>0</v>
      </c>
      <c r="S22" s="29">
        <f t="shared" si="23"/>
        <v>0</v>
      </c>
      <c r="T22" s="62">
        <f t="shared" si="7"/>
        <v>0</v>
      </c>
      <c r="U22" s="90">
        <f t="shared" si="8"/>
        <v>3250</v>
      </c>
      <c r="V22" s="62">
        <f t="shared" si="9"/>
        <v>0</v>
      </c>
      <c r="W22" s="94">
        <f t="shared" si="10"/>
        <v>0</v>
      </c>
      <c r="X22" s="154">
        <f t="shared" si="11"/>
        <v>-200.60249999999985</v>
      </c>
      <c r="Y22" s="154">
        <f t="shared" si="24"/>
        <v>-200.60249999999985</v>
      </c>
      <c r="Z22" s="1" t="str">
        <f>IF(OR(B22="",NOT($H22="")),"",ROUND(_xlfn.FORECAST.LINEAR($I22,INDEX(Z$3:Z$13,MATCH($I22,$Y$3:$Y$13,1)):INDEX(Z$3:Z$13,MATCH($I22,$Y$3:$Y$13,1)+1),INDEX($Y$3:$Y$13,MATCH($I22,$Y$3:$Y$13,1)):INDEX($Y$3:$Y$13,MATCH($I22,$Y$3:$Y$13,1)+1)),0))</f>
        <v/>
      </c>
      <c r="AA22" s="39" t="str">
        <f>IF(OR(C22="",NOT($H22="")),"",ROUND(_xlfn.FORECAST.LINEAR($I22,INDEX(AA$3:AA$13,MATCH($I22,$Y$3:$Y$13,1)):INDEX(AA$3:AA$13,MATCH($I22,$Y$3:$Y$13,1)+1),INDEX($Y$3:$Y$13,MATCH($I22,$Y$3:$Y$13,1)):INDEX($Y$3:$Y$13,MATCH($I22,$Y$3:$Y$13,1)+1)),0))</f>
        <v/>
      </c>
      <c r="AB22" s="38" t="str">
        <f>IF(OR(D22="",NOT($H22="")),"",ROUND(_xlfn.FORECAST.LINEAR($S22,INDEX(AB$3:AB$13,MATCH($S22,$Y$3:$Y$13,1)):INDEX(AB$3:AB$13,MATCH($S22,$Y$3:$Y$13,1)+1),INDEX($Y$3:$Y$13,MATCH($S22,$Y$3:$Y$13,1)):INDEX($Y$3:$Y$13,MATCH($S22,$Y$3:$Y$13,1)+1)),0))</f>
        <v/>
      </c>
      <c r="AC22" s="1" t="str">
        <f>IF(OR(E22="",NOT($H22="")),"",ROUND(_xlfn.FORECAST.LINEAR($S22,INDEX(AC$3:AC$13,MATCH($S22,$Y$3:$Y$13,1)):INDEX(AC$3:AC$13,MATCH($S22,$Y$3:$Y$13,1)+1),INDEX($Y$3:$Y$13,MATCH($S22,$Y$3:$Y$13,1)):INDEX($Y$3:$Y$13,MATCH($S22,$Y$3:$Y$13,1)+1)),0))</f>
        <v/>
      </c>
      <c r="AD22" s="1" t="str">
        <f>IF(OR(F22="",NOT($H22="")),"",ROUND(_xlfn.FORECAST.LINEAR($S22,INDEX(AD$3:AD$13,MATCH($S22,$Y$3:$Y$13,1)):INDEX(AD$3:AD$13,MATCH($S22,$Y$3:$Y$13,1)+1),INDEX($Y$3:$Y$13,MATCH($S22,$Y$3:$Y$13,1)):INDEX($Y$3:$Y$13,MATCH($S22,$Y$3:$Y$13,1)+1)),0))</f>
        <v/>
      </c>
      <c r="AE22" s="47" t="str">
        <f>IF(OR(G22="",NOT($H22="")),"",ROUND(_xlfn.FORECAST.LINEAR($S22,INDEX(AE$3:AE$13,MATCH($S22,$Y$3:$Y$13,1)):INDEX(AE$3:AE$13,MATCH($S22,$Y$3:$Y$13,1)+1),INDEX($Y$3:$Y$13,MATCH($S22,$Y$3:$Y$13,1)):INDEX($Y$3:$Y$13,MATCH($S22,$Y$3:$Y$13,1)+1)),0))</f>
        <v/>
      </c>
      <c r="AF22" s="26" t="str">
        <f t="shared" si="12"/>
        <v/>
      </c>
      <c r="AG22" s="9" t="str">
        <f t="shared" si="13"/>
        <v/>
      </c>
      <c r="AH22" s="11" t="str">
        <f t="shared" si="14"/>
        <v/>
      </c>
      <c r="AI22" s="9" t="str">
        <f t="shared" si="15"/>
        <v/>
      </c>
      <c r="AJ22" s="10" t="str">
        <f t="shared" si="16"/>
        <v/>
      </c>
      <c r="AK22" s="10" t="str">
        <f t="shared" si="17"/>
        <v/>
      </c>
      <c r="AL22" s="11" t="str">
        <f t="shared" si="18"/>
        <v/>
      </c>
    </row>
    <row r="23" spans="1:40" ht="16.5" thickTop="1" thickBot="1" x14ac:dyDescent="0.3">
      <c r="C23" s="1">
        <v>1</v>
      </c>
      <c r="H23" s="28" t="str">
        <f t="shared" si="19"/>
        <v>Insufficient PTO</v>
      </c>
      <c r="I23" s="29">
        <f t="shared" si="0"/>
        <v>0.65448947916666667</v>
      </c>
      <c r="J23" s="75">
        <f t="shared" si="1"/>
        <v>24000</v>
      </c>
      <c r="K23" s="71">
        <f t="shared" si="2"/>
        <v>24000</v>
      </c>
      <c r="L23" s="72">
        <f t="shared" si="3"/>
        <v>15707.747499999999</v>
      </c>
      <c r="M23" s="80">
        <f t="shared" si="20"/>
        <v>-4244.7474999999995</v>
      </c>
      <c r="N23" s="81">
        <f t="shared" si="4"/>
        <v>0</v>
      </c>
      <c r="O23" s="82">
        <f t="shared" si="21"/>
        <v>0</v>
      </c>
      <c r="P23" s="71">
        <f t="shared" si="5"/>
        <v>0</v>
      </c>
      <c r="Q23" s="103">
        <f t="shared" si="22"/>
        <v>0</v>
      </c>
      <c r="R23" s="72">
        <f t="shared" si="6"/>
        <v>0</v>
      </c>
      <c r="S23" s="29">
        <f t="shared" si="23"/>
        <v>0</v>
      </c>
      <c r="T23" s="62">
        <f t="shared" si="7"/>
        <v>0</v>
      </c>
      <c r="U23" s="90">
        <f t="shared" si="8"/>
        <v>0</v>
      </c>
      <c r="V23" s="62">
        <f t="shared" si="9"/>
        <v>0</v>
      </c>
      <c r="W23" s="94">
        <f t="shared" si="10"/>
        <v>3250</v>
      </c>
      <c r="X23" s="154">
        <f t="shared" si="11"/>
        <v>-200.60249999999985</v>
      </c>
      <c r="Y23" s="154">
        <f t="shared" si="24"/>
        <v>-200.60249999999985</v>
      </c>
      <c r="Z23" s="1" t="str">
        <f>IF(OR(B23="",NOT($H23="")),"",ROUND(_xlfn.FORECAST.LINEAR($I23,INDEX(Z$3:Z$13,MATCH($I23,$Y$3:$Y$13,1)):INDEX(Z$3:Z$13,MATCH($I23,$Y$3:$Y$13,1)+1),INDEX($Y$3:$Y$13,MATCH($I23,$Y$3:$Y$13,1)):INDEX($Y$3:$Y$13,MATCH($I23,$Y$3:$Y$13,1)+1)),0))</f>
        <v/>
      </c>
      <c r="AA23" s="39" t="str">
        <f>IF(OR(C23="",NOT($H23="")),"",ROUND(_xlfn.FORECAST.LINEAR($I23,INDEX(AA$3:AA$13,MATCH($I23,$Y$3:$Y$13,1)):INDEX(AA$3:AA$13,MATCH($I23,$Y$3:$Y$13,1)+1),INDEX($Y$3:$Y$13,MATCH($I23,$Y$3:$Y$13,1)):INDEX($Y$3:$Y$13,MATCH($I23,$Y$3:$Y$13,1)+1)),0))</f>
        <v/>
      </c>
      <c r="AB23" s="38" t="str">
        <f>IF(OR(D23="",NOT($H23="")),"",ROUND(_xlfn.FORECAST.LINEAR($S23,INDEX(AB$3:AB$13,MATCH($S23,$Y$3:$Y$13,1)):INDEX(AB$3:AB$13,MATCH($S23,$Y$3:$Y$13,1)+1),INDEX($Y$3:$Y$13,MATCH($S23,$Y$3:$Y$13,1)):INDEX($Y$3:$Y$13,MATCH($S23,$Y$3:$Y$13,1)+1)),0))</f>
        <v/>
      </c>
      <c r="AC23" s="1" t="str">
        <f>IF(OR(E23="",NOT($H23="")),"",ROUND(_xlfn.FORECAST.LINEAR($S23,INDEX(AC$3:AC$13,MATCH($S23,$Y$3:$Y$13,1)):INDEX(AC$3:AC$13,MATCH($S23,$Y$3:$Y$13,1)+1),INDEX($Y$3:$Y$13,MATCH($S23,$Y$3:$Y$13,1)):INDEX($Y$3:$Y$13,MATCH($S23,$Y$3:$Y$13,1)+1)),0))</f>
        <v/>
      </c>
      <c r="AD23" s="1" t="str">
        <f>IF(OR(F23="",NOT($H23="")),"",ROUND(_xlfn.FORECAST.LINEAR($S23,INDEX(AD$3:AD$13,MATCH($S23,$Y$3:$Y$13,1)):INDEX(AD$3:AD$13,MATCH($S23,$Y$3:$Y$13,1)+1),INDEX($Y$3:$Y$13,MATCH($S23,$Y$3:$Y$13,1)):INDEX($Y$3:$Y$13,MATCH($S23,$Y$3:$Y$13,1)+1)),0))</f>
        <v/>
      </c>
      <c r="AE23" s="47" t="str">
        <f>IF(OR(G23="",NOT($H23="")),"",ROUND(_xlfn.FORECAST.LINEAR($S23,INDEX(AE$3:AE$13,MATCH($S23,$Y$3:$Y$13,1)):INDEX(AE$3:AE$13,MATCH($S23,$Y$3:$Y$13,1)+1),INDEX($Y$3:$Y$13,MATCH($S23,$Y$3:$Y$13,1)):INDEX($Y$3:$Y$13,MATCH($S23,$Y$3:$Y$13,1)+1)),0))</f>
        <v/>
      </c>
      <c r="AF23" s="26" t="str">
        <f t="shared" si="12"/>
        <v/>
      </c>
      <c r="AG23" s="9" t="str">
        <f t="shared" si="13"/>
        <v/>
      </c>
      <c r="AH23" s="11" t="str">
        <f t="shared" si="14"/>
        <v/>
      </c>
      <c r="AI23" s="9" t="str">
        <f t="shared" si="15"/>
        <v/>
      </c>
      <c r="AJ23" s="10" t="str">
        <f t="shared" si="16"/>
        <v/>
      </c>
      <c r="AK23" s="10" t="str">
        <f t="shared" si="17"/>
        <v/>
      </c>
      <c r="AL23" s="11" t="str">
        <f t="shared" si="18"/>
        <v/>
      </c>
    </row>
    <row r="24" spans="1:40" ht="16.5" thickTop="1" thickBot="1" x14ac:dyDescent="0.3">
      <c r="D24" s="1">
        <v>1</v>
      </c>
      <c r="E24" s="1">
        <v>1</v>
      </c>
      <c r="H24" s="28" t="str">
        <f t="shared" si="19"/>
        <v>Insufficient pwr</v>
      </c>
      <c r="I24" s="29">
        <f t="shared" si="0"/>
        <v>1.9634684375</v>
      </c>
      <c r="J24" s="75">
        <f t="shared" si="1"/>
        <v>8000</v>
      </c>
      <c r="K24" s="71">
        <f t="shared" si="2"/>
        <v>0</v>
      </c>
      <c r="L24" s="72">
        <f t="shared" si="3"/>
        <v>0</v>
      </c>
      <c r="M24" s="80">
        <f t="shared" si="20"/>
        <v>11463</v>
      </c>
      <c r="N24" s="81">
        <f t="shared" si="4"/>
        <v>3250</v>
      </c>
      <c r="O24" s="82">
        <f t="shared" si="21"/>
        <v>5536.15</v>
      </c>
      <c r="P24" s="71">
        <f t="shared" si="5"/>
        <v>8000</v>
      </c>
      <c r="Q24" s="103">
        <f t="shared" si="22"/>
        <v>573.15</v>
      </c>
      <c r="R24" s="72">
        <f t="shared" si="6"/>
        <v>16280.897499999999</v>
      </c>
      <c r="S24" s="29">
        <f t="shared" si="23"/>
        <v>2.0351121874999998</v>
      </c>
      <c r="T24" s="62">
        <f t="shared" si="7"/>
        <v>3250</v>
      </c>
      <c r="U24" s="90">
        <f t="shared" si="8"/>
        <v>0</v>
      </c>
      <c r="V24" s="62">
        <f t="shared" si="9"/>
        <v>3250</v>
      </c>
      <c r="W24" s="94">
        <f t="shared" si="10"/>
        <v>0</v>
      </c>
      <c r="X24" s="154">
        <f t="shared" si="11"/>
        <v>-200.60249999999985</v>
      </c>
      <c r="Y24" s="154">
        <f t="shared" si="24"/>
        <v>-200.60249999999985</v>
      </c>
      <c r="Z24" s="1" t="str">
        <f>IF(OR(B24="",NOT($H24="")),"",ROUND(_xlfn.FORECAST.LINEAR($I24,INDEX(Z$3:Z$13,MATCH($I24,$Y$3:$Y$13,1)):INDEX(Z$3:Z$13,MATCH($I24,$Y$3:$Y$13,1)+1),INDEX($Y$3:$Y$13,MATCH($I24,$Y$3:$Y$13,1)):INDEX($Y$3:$Y$13,MATCH($I24,$Y$3:$Y$13,1)+1)),0))</f>
        <v/>
      </c>
      <c r="AA24" s="39" t="str">
        <f>IF(OR(C24="",NOT($H24="")),"",ROUND(_xlfn.FORECAST.LINEAR($I24,INDEX(AA$3:AA$13,MATCH($I24,$Y$3:$Y$13,1)):INDEX(AA$3:AA$13,MATCH($I24,$Y$3:$Y$13,1)+1),INDEX($Y$3:$Y$13,MATCH($I24,$Y$3:$Y$13,1)):INDEX($Y$3:$Y$13,MATCH($I24,$Y$3:$Y$13,1)+1)),0))</f>
        <v/>
      </c>
      <c r="AB24" s="38" t="str">
        <f>IF(OR(D24="",NOT($H24="")),"",ROUND(_xlfn.FORECAST.LINEAR($S24,INDEX(AB$3:AB$13,MATCH($S24,$Y$3:$Y$13,1)):INDEX(AB$3:AB$13,MATCH($S24,$Y$3:$Y$13,1)+1),INDEX($Y$3:$Y$13,MATCH($S24,$Y$3:$Y$13,1)):INDEX($Y$3:$Y$13,MATCH($S24,$Y$3:$Y$13,1)+1)),0))</f>
        <v/>
      </c>
      <c r="AC24" s="1" t="str">
        <f>IF(OR(E24="",NOT($H24="")),"",ROUND(_xlfn.FORECAST.LINEAR($S24,INDEX(AC$3:AC$13,MATCH($S24,$Y$3:$Y$13,1)):INDEX(AC$3:AC$13,MATCH($S24,$Y$3:$Y$13,1)+1),INDEX($Y$3:$Y$13,MATCH($S24,$Y$3:$Y$13,1)):INDEX($Y$3:$Y$13,MATCH($S24,$Y$3:$Y$13,1)+1)),0))</f>
        <v/>
      </c>
      <c r="AD24" s="1" t="str">
        <f>IF(OR(F24="",NOT($H24="")),"",ROUND(_xlfn.FORECAST.LINEAR($S24,INDEX(AD$3:AD$13,MATCH($S24,$Y$3:$Y$13,1)):INDEX(AD$3:AD$13,MATCH($S24,$Y$3:$Y$13,1)+1),INDEX($Y$3:$Y$13,MATCH($S24,$Y$3:$Y$13,1)):INDEX($Y$3:$Y$13,MATCH($S24,$Y$3:$Y$13,1)+1)),0))</f>
        <v/>
      </c>
      <c r="AE24" s="47" t="str">
        <f>IF(OR(G24="",NOT($H24="")),"",ROUND(_xlfn.FORECAST.LINEAR($S24,INDEX(AE$3:AE$13,MATCH($S24,$Y$3:$Y$13,1)):INDEX(AE$3:AE$13,MATCH($S24,$Y$3:$Y$13,1)+1),INDEX($Y$3:$Y$13,MATCH($S24,$Y$3:$Y$13,1)):INDEX($Y$3:$Y$13,MATCH($S24,$Y$3:$Y$13,1)+1)),0))</f>
        <v/>
      </c>
      <c r="AF24" s="26" t="str">
        <f t="shared" si="12"/>
        <v/>
      </c>
      <c r="AG24" s="9" t="str">
        <f t="shared" si="13"/>
        <v/>
      </c>
      <c r="AH24" s="11" t="str">
        <f t="shared" si="14"/>
        <v/>
      </c>
      <c r="AI24" s="9" t="str">
        <f t="shared" si="15"/>
        <v/>
      </c>
      <c r="AJ24" s="10" t="str">
        <f t="shared" si="16"/>
        <v/>
      </c>
      <c r="AK24" s="10" t="str">
        <f t="shared" si="17"/>
        <v/>
      </c>
      <c r="AL24" s="11" t="str">
        <f t="shared" si="18"/>
        <v/>
      </c>
    </row>
    <row r="25" spans="1:40" ht="16.5" thickTop="1" thickBot="1" x14ac:dyDescent="0.3">
      <c r="D25" s="1">
        <v>1</v>
      </c>
      <c r="F25" s="1">
        <v>1</v>
      </c>
      <c r="H25" s="28" t="str">
        <f t="shared" si="19"/>
        <v>Insufficient pwr</v>
      </c>
      <c r="I25" s="29">
        <f t="shared" si="0"/>
        <v>1.9634684375</v>
      </c>
      <c r="J25" s="75">
        <f t="shared" si="1"/>
        <v>8000</v>
      </c>
      <c r="K25" s="71">
        <f t="shared" si="2"/>
        <v>0</v>
      </c>
      <c r="L25" s="72">
        <f t="shared" si="3"/>
        <v>0</v>
      </c>
      <c r="M25" s="80">
        <f t="shared" si="20"/>
        <v>11463</v>
      </c>
      <c r="N25" s="81">
        <f t="shared" si="4"/>
        <v>3250</v>
      </c>
      <c r="O25" s="82">
        <f t="shared" si="21"/>
        <v>5536.15</v>
      </c>
      <c r="P25" s="71">
        <f t="shared" si="5"/>
        <v>8000</v>
      </c>
      <c r="Q25" s="103">
        <f t="shared" si="22"/>
        <v>573.15</v>
      </c>
      <c r="R25" s="72">
        <f t="shared" si="6"/>
        <v>16280.897499999999</v>
      </c>
      <c r="S25" s="29">
        <f t="shared" si="23"/>
        <v>2.0351121874999998</v>
      </c>
      <c r="T25" s="62">
        <f t="shared" si="7"/>
        <v>3250</v>
      </c>
      <c r="U25" s="90">
        <f t="shared" si="8"/>
        <v>0</v>
      </c>
      <c r="V25" s="62">
        <f t="shared" si="9"/>
        <v>3250</v>
      </c>
      <c r="W25" s="94">
        <f t="shared" si="10"/>
        <v>0</v>
      </c>
      <c r="X25" s="154">
        <f t="shared" si="11"/>
        <v>-200.60249999999985</v>
      </c>
      <c r="Y25" s="154">
        <f t="shared" si="24"/>
        <v>-200.60249999999985</v>
      </c>
      <c r="Z25" s="1" t="str">
        <f>IF(OR(B25="",NOT($H25="")),"",ROUND(_xlfn.FORECAST.LINEAR($I25,INDEX(Z$3:Z$13,MATCH($I25,$Y$3:$Y$13,1)):INDEX(Z$3:Z$13,MATCH($I25,$Y$3:$Y$13,1)+1),INDEX($Y$3:$Y$13,MATCH($I25,$Y$3:$Y$13,1)):INDEX($Y$3:$Y$13,MATCH($I25,$Y$3:$Y$13,1)+1)),0))</f>
        <v/>
      </c>
      <c r="AA25" s="39" t="str">
        <f>IF(OR(C25="",NOT($H25="")),"",ROUND(_xlfn.FORECAST.LINEAR($I25,INDEX(AA$3:AA$13,MATCH($I25,$Y$3:$Y$13,1)):INDEX(AA$3:AA$13,MATCH($I25,$Y$3:$Y$13,1)+1),INDEX($Y$3:$Y$13,MATCH($I25,$Y$3:$Y$13,1)):INDEX($Y$3:$Y$13,MATCH($I25,$Y$3:$Y$13,1)+1)),0))</f>
        <v/>
      </c>
      <c r="AB25" s="38" t="str">
        <f>IF(OR(D25="",NOT($H25="")),"",ROUND(_xlfn.FORECAST.LINEAR($S25,INDEX(AB$3:AB$13,MATCH($S25,$Y$3:$Y$13,1)):INDEX(AB$3:AB$13,MATCH($S25,$Y$3:$Y$13,1)+1),INDEX($Y$3:$Y$13,MATCH($S25,$Y$3:$Y$13,1)):INDEX($Y$3:$Y$13,MATCH($S25,$Y$3:$Y$13,1)+1)),0))</f>
        <v/>
      </c>
      <c r="AC25" s="1" t="str">
        <f>IF(OR(E25="",NOT($H25="")),"",ROUND(_xlfn.FORECAST.LINEAR($S25,INDEX(AC$3:AC$13,MATCH($S25,$Y$3:$Y$13,1)):INDEX(AC$3:AC$13,MATCH($S25,$Y$3:$Y$13,1)+1),INDEX($Y$3:$Y$13,MATCH($S25,$Y$3:$Y$13,1)):INDEX($Y$3:$Y$13,MATCH($S25,$Y$3:$Y$13,1)+1)),0))</f>
        <v/>
      </c>
      <c r="AD25" s="1" t="str">
        <f>IF(OR(F25="",NOT($H25="")),"",ROUND(_xlfn.FORECAST.LINEAR($S25,INDEX(AD$3:AD$13,MATCH($S25,$Y$3:$Y$13,1)):INDEX(AD$3:AD$13,MATCH($S25,$Y$3:$Y$13,1)+1),INDEX($Y$3:$Y$13,MATCH($S25,$Y$3:$Y$13,1)):INDEX($Y$3:$Y$13,MATCH($S25,$Y$3:$Y$13,1)+1)),0))</f>
        <v/>
      </c>
      <c r="AE25" s="47" t="str">
        <f>IF(OR(G25="",NOT($H25="")),"",ROUND(_xlfn.FORECAST.LINEAR($S25,INDEX(AE$3:AE$13,MATCH($S25,$Y$3:$Y$13,1)):INDEX(AE$3:AE$13,MATCH($S25,$Y$3:$Y$13,1)+1),INDEX($Y$3:$Y$13,MATCH($S25,$Y$3:$Y$13,1)):INDEX($Y$3:$Y$13,MATCH($S25,$Y$3:$Y$13,1)+1)),0))</f>
        <v/>
      </c>
      <c r="AF25" s="26" t="str">
        <f t="shared" si="12"/>
        <v/>
      </c>
      <c r="AG25" s="9" t="str">
        <f t="shared" si="13"/>
        <v/>
      </c>
      <c r="AH25" s="11" t="str">
        <f t="shared" si="14"/>
        <v/>
      </c>
      <c r="AI25" s="9" t="str">
        <f t="shared" si="15"/>
        <v/>
      </c>
      <c r="AJ25" s="10" t="str">
        <f t="shared" si="16"/>
        <v/>
      </c>
      <c r="AK25" s="10" t="str">
        <f t="shared" si="17"/>
        <v/>
      </c>
      <c r="AL25" s="11" t="str">
        <f t="shared" si="18"/>
        <v/>
      </c>
    </row>
    <row r="26" spans="1:40" ht="16.5" thickTop="1" thickBot="1" x14ac:dyDescent="0.3">
      <c r="D26" s="1">
        <v>1</v>
      </c>
      <c r="G26" s="1">
        <v>1</v>
      </c>
      <c r="H26" s="28" t="str">
        <f t="shared" si="19"/>
        <v>Insufficient pwr</v>
      </c>
      <c r="I26" s="29">
        <f t="shared" si="0"/>
        <v>1.9634684375</v>
      </c>
      <c r="J26" s="75">
        <f t="shared" si="1"/>
        <v>8000</v>
      </c>
      <c r="K26" s="71">
        <f t="shared" si="2"/>
        <v>0</v>
      </c>
      <c r="L26" s="72">
        <f t="shared" si="3"/>
        <v>0</v>
      </c>
      <c r="M26" s="80">
        <f t="shared" si="20"/>
        <v>11463</v>
      </c>
      <c r="N26" s="81">
        <f t="shared" si="4"/>
        <v>3250</v>
      </c>
      <c r="O26" s="82">
        <f t="shared" si="21"/>
        <v>5536.15</v>
      </c>
      <c r="P26" s="71">
        <f t="shared" si="5"/>
        <v>8000</v>
      </c>
      <c r="Q26" s="103">
        <f t="shared" si="22"/>
        <v>573.15</v>
      </c>
      <c r="R26" s="72">
        <f t="shared" si="6"/>
        <v>16280.897499999999</v>
      </c>
      <c r="S26" s="29">
        <f t="shared" si="23"/>
        <v>2.0351121874999998</v>
      </c>
      <c r="T26" s="62">
        <f t="shared" si="7"/>
        <v>3250</v>
      </c>
      <c r="U26" s="90">
        <f t="shared" si="8"/>
        <v>0</v>
      </c>
      <c r="V26" s="62">
        <f t="shared" si="9"/>
        <v>3250</v>
      </c>
      <c r="W26" s="94">
        <f t="shared" si="10"/>
        <v>0</v>
      </c>
      <c r="X26" s="154">
        <f t="shared" si="11"/>
        <v>-200.60249999999985</v>
      </c>
      <c r="Y26" s="154">
        <f t="shared" si="24"/>
        <v>-200.60249999999985</v>
      </c>
      <c r="Z26" s="1" t="str">
        <f>IF(OR(B26="",NOT($H26="")),"",ROUND(_xlfn.FORECAST.LINEAR($I26,INDEX(Z$3:Z$13,MATCH($I26,$Y$3:$Y$13,1)):INDEX(Z$3:Z$13,MATCH($I26,$Y$3:$Y$13,1)+1),INDEX($Y$3:$Y$13,MATCH($I26,$Y$3:$Y$13,1)):INDEX($Y$3:$Y$13,MATCH($I26,$Y$3:$Y$13,1)+1)),0))</f>
        <v/>
      </c>
      <c r="AA26" s="39" t="str">
        <f>IF(OR(C26="",NOT($H26="")),"",ROUND(_xlfn.FORECAST.LINEAR($I26,INDEX(AA$3:AA$13,MATCH($I26,$Y$3:$Y$13,1)):INDEX(AA$3:AA$13,MATCH($I26,$Y$3:$Y$13,1)+1),INDEX($Y$3:$Y$13,MATCH($I26,$Y$3:$Y$13,1)):INDEX($Y$3:$Y$13,MATCH($I26,$Y$3:$Y$13,1)+1)),0))</f>
        <v/>
      </c>
      <c r="AB26" s="38" t="str">
        <f>IF(OR(D26="",NOT($H26="")),"",ROUND(_xlfn.FORECAST.LINEAR($S26,INDEX(AB$3:AB$13,MATCH($S26,$Y$3:$Y$13,1)):INDEX(AB$3:AB$13,MATCH($S26,$Y$3:$Y$13,1)+1),INDEX($Y$3:$Y$13,MATCH($S26,$Y$3:$Y$13,1)):INDEX($Y$3:$Y$13,MATCH($S26,$Y$3:$Y$13,1)+1)),0))</f>
        <v/>
      </c>
      <c r="AC26" s="1" t="str">
        <f>IF(OR(E26="",NOT($H26="")),"",ROUND(_xlfn.FORECAST.LINEAR($S26,INDEX(AC$3:AC$13,MATCH($S26,$Y$3:$Y$13,1)):INDEX(AC$3:AC$13,MATCH($S26,$Y$3:$Y$13,1)+1),INDEX($Y$3:$Y$13,MATCH($S26,$Y$3:$Y$13,1)):INDEX($Y$3:$Y$13,MATCH($S26,$Y$3:$Y$13,1)+1)),0))</f>
        <v/>
      </c>
      <c r="AD26" s="1" t="str">
        <f>IF(OR(F26="",NOT($H26="")),"",ROUND(_xlfn.FORECAST.LINEAR($S26,INDEX(AD$3:AD$13,MATCH($S26,$Y$3:$Y$13,1)):INDEX(AD$3:AD$13,MATCH($S26,$Y$3:$Y$13,1)+1),INDEX($Y$3:$Y$13,MATCH($S26,$Y$3:$Y$13,1)):INDEX($Y$3:$Y$13,MATCH($S26,$Y$3:$Y$13,1)+1)),0))</f>
        <v/>
      </c>
      <c r="AE26" s="47" t="str">
        <f>IF(OR(G26="",NOT($H26="")),"",ROUND(_xlfn.FORECAST.LINEAR($S26,INDEX(AE$3:AE$13,MATCH($S26,$Y$3:$Y$13,1)):INDEX(AE$3:AE$13,MATCH($S26,$Y$3:$Y$13,1)+1),INDEX($Y$3:$Y$13,MATCH($S26,$Y$3:$Y$13,1)):INDEX($Y$3:$Y$13,MATCH($S26,$Y$3:$Y$13,1)+1)),0))</f>
        <v/>
      </c>
      <c r="AF26" s="26" t="str">
        <f t="shared" si="12"/>
        <v/>
      </c>
      <c r="AG26" s="9" t="str">
        <f t="shared" si="13"/>
        <v/>
      </c>
      <c r="AH26" s="11" t="str">
        <f t="shared" si="14"/>
        <v/>
      </c>
      <c r="AI26" s="9" t="str">
        <f t="shared" si="15"/>
        <v/>
      </c>
      <c r="AJ26" s="10" t="str">
        <f t="shared" si="16"/>
        <v/>
      </c>
      <c r="AK26" s="10" t="str">
        <f t="shared" si="17"/>
        <v/>
      </c>
      <c r="AL26" s="11" t="str">
        <f t="shared" si="18"/>
        <v/>
      </c>
    </row>
    <row r="27" spans="1:40" ht="16.5" thickTop="1" thickBot="1" x14ac:dyDescent="0.3">
      <c r="E27" s="1">
        <v>1</v>
      </c>
      <c r="F27" s="1">
        <v>1</v>
      </c>
      <c r="H27" s="28" t="str">
        <f t="shared" si="19"/>
        <v>Insufficient pwr</v>
      </c>
      <c r="I27" s="29">
        <f t="shared" si="0"/>
        <v>1.9634684375</v>
      </c>
      <c r="J27" s="75">
        <f t="shared" si="1"/>
        <v>8000</v>
      </c>
      <c r="K27" s="71">
        <f t="shared" si="2"/>
        <v>0</v>
      </c>
      <c r="L27" s="72">
        <f t="shared" si="3"/>
        <v>0</v>
      </c>
      <c r="M27" s="80">
        <f t="shared" si="20"/>
        <v>11463</v>
      </c>
      <c r="N27" s="81">
        <f t="shared" si="4"/>
        <v>3250</v>
      </c>
      <c r="O27" s="82">
        <f t="shared" si="21"/>
        <v>5536.15</v>
      </c>
      <c r="P27" s="71">
        <f t="shared" si="5"/>
        <v>8000</v>
      </c>
      <c r="Q27" s="103">
        <f t="shared" si="22"/>
        <v>573.15</v>
      </c>
      <c r="R27" s="72">
        <f t="shared" si="6"/>
        <v>16280.897499999999</v>
      </c>
      <c r="S27" s="29">
        <f t="shared" si="23"/>
        <v>2.0351121874999998</v>
      </c>
      <c r="T27" s="62">
        <f t="shared" si="7"/>
        <v>3250</v>
      </c>
      <c r="U27" s="90">
        <f t="shared" si="8"/>
        <v>0</v>
      </c>
      <c r="V27" s="62">
        <f t="shared" si="9"/>
        <v>3250</v>
      </c>
      <c r="W27" s="94">
        <f t="shared" si="10"/>
        <v>0</v>
      </c>
      <c r="X27" s="154">
        <f t="shared" si="11"/>
        <v>-200.60249999999985</v>
      </c>
      <c r="Y27" s="154">
        <f t="shared" si="24"/>
        <v>-200.60249999999985</v>
      </c>
      <c r="Z27" s="1" t="str">
        <f>IF(OR(B27="",NOT($H27="")),"",ROUND(_xlfn.FORECAST.LINEAR($I27,INDEX(Z$3:Z$13,MATCH($I27,$Y$3:$Y$13,1)):INDEX(Z$3:Z$13,MATCH($I27,$Y$3:$Y$13,1)+1),INDEX($Y$3:$Y$13,MATCH($I27,$Y$3:$Y$13,1)):INDEX($Y$3:$Y$13,MATCH($I27,$Y$3:$Y$13,1)+1)),0))</f>
        <v/>
      </c>
      <c r="AA27" s="39" t="str">
        <f>IF(OR(C27="",NOT($H27="")),"",ROUND(_xlfn.FORECAST.LINEAR($I27,INDEX(AA$3:AA$13,MATCH($I27,$Y$3:$Y$13,1)):INDEX(AA$3:AA$13,MATCH($I27,$Y$3:$Y$13,1)+1),INDEX($Y$3:$Y$13,MATCH($I27,$Y$3:$Y$13,1)):INDEX($Y$3:$Y$13,MATCH($I27,$Y$3:$Y$13,1)+1)),0))</f>
        <v/>
      </c>
      <c r="AB27" s="38" t="str">
        <f>IF(OR(D27="",NOT($H27="")),"",ROUND(_xlfn.FORECAST.LINEAR($S27,INDEX(AB$3:AB$13,MATCH($S27,$Y$3:$Y$13,1)):INDEX(AB$3:AB$13,MATCH($S27,$Y$3:$Y$13,1)+1),INDEX($Y$3:$Y$13,MATCH($S27,$Y$3:$Y$13,1)):INDEX($Y$3:$Y$13,MATCH($S27,$Y$3:$Y$13,1)+1)),0))</f>
        <v/>
      </c>
      <c r="AC27" s="1" t="str">
        <f>IF(OR(E27="",NOT($H27="")),"",ROUND(_xlfn.FORECAST.LINEAR($S27,INDEX(AC$3:AC$13,MATCH($S27,$Y$3:$Y$13,1)):INDEX(AC$3:AC$13,MATCH($S27,$Y$3:$Y$13,1)+1),INDEX($Y$3:$Y$13,MATCH($S27,$Y$3:$Y$13,1)):INDEX($Y$3:$Y$13,MATCH($S27,$Y$3:$Y$13,1)+1)),0))</f>
        <v/>
      </c>
      <c r="AD27" s="1" t="str">
        <f>IF(OR(F27="",NOT($H27="")),"",ROUND(_xlfn.FORECAST.LINEAR($S27,INDEX(AD$3:AD$13,MATCH($S27,$Y$3:$Y$13,1)):INDEX(AD$3:AD$13,MATCH($S27,$Y$3:$Y$13,1)+1),INDEX($Y$3:$Y$13,MATCH($S27,$Y$3:$Y$13,1)):INDEX($Y$3:$Y$13,MATCH($S27,$Y$3:$Y$13,1)+1)),0))</f>
        <v/>
      </c>
      <c r="AE27" s="47" t="str">
        <f>IF(OR(G27="",NOT($H27="")),"",ROUND(_xlfn.FORECAST.LINEAR($S27,INDEX(AE$3:AE$13,MATCH($S27,$Y$3:$Y$13,1)):INDEX(AE$3:AE$13,MATCH($S27,$Y$3:$Y$13,1)+1),INDEX($Y$3:$Y$13,MATCH($S27,$Y$3:$Y$13,1)):INDEX($Y$3:$Y$13,MATCH($S27,$Y$3:$Y$13,1)+1)),0))</f>
        <v/>
      </c>
      <c r="AF27" s="26" t="str">
        <f t="shared" si="12"/>
        <v/>
      </c>
      <c r="AG27" s="9" t="str">
        <f t="shared" si="13"/>
        <v/>
      </c>
      <c r="AH27" s="11" t="str">
        <f t="shared" si="14"/>
        <v/>
      </c>
      <c r="AI27" s="9" t="str">
        <f t="shared" si="15"/>
        <v/>
      </c>
      <c r="AJ27" s="10" t="str">
        <f t="shared" si="16"/>
        <v/>
      </c>
      <c r="AK27" s="10" t="str">
        <f t="shared" si="17"/>
        <v/>
      </c>
      <c r="AL27" s="11" t="str">
        <f t="shared" si="18"/>
        <v/>
      </c>
    </row>
    <row r="28" spans="1:40" ht="16.5" thickTop="1" thickBot="1" x14ac:dyDescent="0.3">
      <c r="E28" s="1">
        <v>1</v>
      </c>
      <c r="G28" s="1">
        <v>1</v>
      </c>
      <c r="H28" s="28" t="str">
        <f t="shared" si="19"/>
        <v>Insufficient pwr</v>
      </c>
      <c r="I28" s="29">
        <f t="shared" si="0"/>
        <v>1.9634684375</v>
      </c>
      <c r="J28" s="75">
        <f t="shared" si="1"/>
        <v>8000</v>
      </c>
      <c r="K28" s="71">
        <f t="shared" si="2"/>
        <v>0</v>
      </c>
      <c r="L28" s="72">
        <f t="shared" si="3"/>
        <v>0</v>
      </c>
      <c r="M28" s="80">
        <f t="shared" si="20"/>
        <v>11463</v>
      </c>
      <c r="N28" s="81">
        <f t="shared" si="4"/>
        <v>3250</v>
      </c>
      <c r="O28" s="82">
        <f t="shared" si="21"/>
        <v>5536.15</v>
      </c>
      <c r="P28" s="71">
        <f t="shared" si="5"/>
        <v>8000</v>
      </c>
      <c r="Q28" s="103">
        <f t="shared" si="22"/>
        <v>573.15</v>
      </c>
      <c r="R28" s="72">
        <f t="shared" si="6"/>
        <v>16280.897499999999</v>
      </c>
      <c r="S28" s="29">
        <f t="shared" si="23"/>
        <v>2.0351121874999998</v>
      </c>
      <c r="T28" s="62">
        <f t="shared" si="7"/>
        <v>3250</v>
      </c>
      <c r="U28" s="90">
        <f t="shared" si="8"/>
        <v>0</v>
      </c>
      <c r="V28" s="62">
        <f t="shared" si="9"/>
        <v>3250</v>
      </c>
      <c r="W28" s="94">
        <f t="shared" si="10"/>
        <v>0</v>
      </c>
      <c r="X28" s="154">
        <f t="shared" si="11"/>
        <v>-200.60249999999985</v>
      </c>
      <c r="Y28" s="154">
        <f t="shared" si="24"/>
        <v>-200.60249999999985</v>
      </c>
      <c r="Z28" s="1" t="str">
        <f>IF(OR(B28="",NOT($H28="")),"",ROUND(_xlfn.FORECAST.LINEAR($I28,INDEX(Z$3:Z$13,MATCH($I28,$Y$3:$Y$13,1)):INDEX(Z$3:Z$13,MATCH($I28,$Y$3:$Y$13,1)+1),INDEX($Y$3:$Y$13,MATCH($I28,$Y$3:$Y$13,1)):INDEX($Y$3:$Y$13,MATCH($I28,$Y$3:$Y$13,1)+1)),0))</f>
        <v/>
      </c>
      <c r="AA28" s="39" t="str">
        <f>IF(OR(C28="",NOT($H28="")),"",ROUND(_xlfn.FORECAST.LINEAR($I28,INDEX(AA$3:AA$13,MATCH($I28,$Y$3:$Y$13,1)):INDEX(AA$3:AA$13,MATCH($I28,$Y$3:$Y$13,1)+1),INDEX($Y$3:$Y$13,MATCH($I28,$Y$3:$Y$13,1)):INDEX($Y$3:$Y$13,MATCH($I28,$Y$3:$Y$13,1)+1)),0))</f>
        <v/>
      </c>
      <c r="AB28" s="38" t="str">
        <f>IF(OR(D28="",NOT($H28="")),"",ROUND(_xlfn.FORECAST.LINEAR($S28,INDEX(AB$3:AB$13,MATCH($S28,$Y$3:$Y$13,1)):INDEX(AB$3:AB$13,MATCH($S28,$Y$3:$Y$13,1)+1),INDEX($Y$3:$Y$13,MATCH($S28,$Y$3:$Y$13,1)):INDEX($Y$3:$Y$13,MATCH($S28,$Y$3:$Y$13,1)+1)),0))</f>
        <v/>
      </c>
      <c r="AC28" s="1" t="str">
        <f>IF(OR(E28="",NOT($H28="")),"",ROUND(_xlfn.FORECAST.LINEAR($S28,INDEX(AC$3:AC$13,MATCH($S28,$Y$3:$Y$13,1)):INDEX(AC$3:AC$13,MATCH($S28,$Y$3:$Y$13,1)+1),INDEX($Y$3:$Y$13,MATCH($S28,$Y$3:$Y$13,1)):INDEX($Y$3:$Y$13,MATCH($S28,$Y$3:$Y$13,1)+1)),0))</f>
        <v/>
      </c>
      <c r="AD28" s="1" t="str">
        <f>IF(OR(F28="",NOT($H28="")),"",ROUND(_xlfn.FORECAST.LINEAR($S28,INDEX(AD$3:AD$13,MATCH($S28,$Y$3:$Y$13,1)):INDEX(AD$3:AD$13,MATCH($S28,$Y$3:$Y$13,1)+1),INDEX($Y$3:$Y$13,MATCH($S28,$Y$3:$Y$13,1)):INDEX($Y$3:$Y$13,MATCH($S28,$Y$3:$Y$13,1)+1)),0))</f>
        <v/>
      </c>
      <c r="AE28" s="47" t="str">
        <f>IF(OR(G28="",NOT($H28="")),"",ROUND(_xlfn.FORECAST.LINEAR($S28,INDEX(AE$3:AE$13,MATCH($S28,$Y$3:$Y$13,1)):INDEX(AE$3:AE$13,MATCH($S28,$Y$3:$Y$13,1)+1),INDEX($Y$3:$Y$13,MATCH($S28,$Y$3:$Y$13,1)):INDEX($Y$3:$Y$13,MATCH($S28,$Y$3:$Y$13,1)+1)),0))</f>
        <v/>
      </c>
      <c r="AF28" s="26" t="str">
        <f t="shared" si="12"/>
        <v/>
      </c>
      <c r="AG28" s="9" t="str">
        <f t="shared" si="13"/>
        <v/>
      </c>
      <c r="AH28" s="11" t="str">
        <f t="shared" si="14"/>
        <v/>
      </c>
      <c r="AI28" s="9" t="str">
        <f t="shared" si="15"/>
        <v/>
      </c>
      <c r="AJ28" s="10" t="str">
        <f t="shared" si="16"/>
        <v/>
      </c>
      <c r="AK28" s="10" t="str">
        <f t="shared" si="17"/>
        <v/>
      </c>
      <c r="AL28" s="11" t="str">
        <f t="shared" si="18"/>
        <v/>
      </c>
    </row>
    <row r="29" spans="1:40" ht="16.5" thickTop="1" thickBot="1" x14ac:dyDescent="0.3">
      <c r="F29" s="1">
        <v>1</v>
      </c>
      <c r="G29" s="1">
        <v>1</v>
      </c>
      <c r="H29" s="28" t="str">
        <f t="shared" si="19"/>
        <v>Insufficient pwr</v>
      </c>
      <c r="I29" s="29">
        <f t="shared" si="0"/>
        <v>1.9634684375</v>
      </c>
      <c r="J29" s="75">
        <f t="shared" si="1"/>
        <v>8000</v>
      </c>
      <c r="K29" s="71">
        <f t="shared" si="2"/>
        <v>0</v>
      </c>
      <c r="L29" s="72">
        <f t="shared" si="3"/>
        <v>0</v>
      </c>
      <c r="M29" s="80">
        <f t="shared" si="20"/>
        <v>11463</v>
      </c>
      <c r="N29" s="81">
        <f t="shared" si="4"/>
        <v>3250</v>
      </c>
      <c r="O29" s="82">
        <f t="shared" si="21"/>
        <v>5536.15</v>
      </c>
      <c r="P29" s="71">
        <f t="shared" si="5"/>
        <v>8000</v>
      </c>
      <c r="Q29" s="103">
        <f t="shared" si="22"/>
        <v>573.15</v>
      </c>
      <c r="R29" s="72">
        <f t="shared" si="6"/>
        <v>16280.897499999999</v>
      </c>
      <c r="S29" s="29">
        <f t="shared" si="23"/>
        <v>2.0351121874999998</v>
      </c>
      <c r="T29" s="62">
        <f t="shared" si="7"/>
        <v>3250</v>
      </c>
      <c r="U29" s="90">
        <f t="shared" si="8"/>
        <v>0</v>
      </c>
      <c r="V29" s="62">
        <f t="shared" si="9"/>
        <v>3250</v>
      </c>
      <c r="W29" s="94">
        <f t="shared" si="10"/>
        <v>0</v>
      </c>
      <c r="X29" s="154">
        <f t="shared" si="11"/>
        <v>-200.60249999999985</v>
      </c>
      <c r="Y29" s="154">
        <f t="shared" si="24"/>
        <v>-200.60249999999985</v>
      </c>
      <c r="Z29" s="1" t="str">
        <f>IF(OR(B29="",NOT($H29="")),"",ROUND(_xlfn.FORECAST.LINEAR($I29,INDEX(Z$3:Z$13,MATCH($I29,$Y$3:$Y$13,1)):INDEX(Z$3:Z$13,MATCH($I29,$Y$3:$Y$13,1)+1),INDEX($Y$3:$Y$13,MATCH($I29,$Y$3:$Y$13,1)):INDEX($Y$3:$Y$13,MATCH($I29,$Y$3:$Y$13,1)+1)),0))</f>
        <v/>
      </c>
      <c r="AA29" s="39" t="str">
        <f>IF(OR(C29="",NOT($H29="")),"",ROUND(_xlfn.FORECAST.LINEAR($I29,INDEX(AA$3:AA$13,MATCH($I29,$Y$3:$Y$13,1)):INDEX(AA$3:AA$13,MATCH($I29,$Y$3:$Y$13,1)+1),INDEX($Y$3:$Y$13,MATCH($I29,$Y$3:$Y$13,1)):INDEX($Y$3:$Y$13,MATCH($I29,$Y$3:$Y$13,1)+1)),0))</f>
        <v/>
      </c>
      <c r="AB29" s="38" t="str">
        <f>IF(OR(D29="",NOT($H29="")),"",ROUND(_xlfn.FORECAST.LINEAR($S29,INDEX(AB$3:AB$13,MATCH($S29,$Y$3:$Y$13,1)):INDEX(AB$3:AB$13,MATCH($S29,$Y$3:$Y$13,1)+1),INDEX($Y$3:$Y$13,MATCH($S29,$Y$3:$Y$13,1)):INDEX($Y$3:$Y$13,MATCH($S29,$Y$3:$Y$13,1)+1)),0))</f>
        <v/>
      </c>
      <c r="AC29" s="1" t="str">
        <f>IF(OR(E29="",NOT($H29="")),"",ROUND(_xlfn.FORECAST.LINEAR($S29,INDEX(AC$3:AC$13,MATCH($S29,$Y$3:$Y$13,1)):INDEX(AC$3:AC$13,MATCH($S29,$Y$3:$Y$13,1)+1),INDEX($Y$3:$Y$13,MATCH($S29,$Y$3:$Y$13,1)):INDEX($Y$3:$Y$13,MATCH($S29,$Y$3:$Y$13,1)+1)),0))</f>
        <v/>
      </c>
      <c r="AD29" s="1" t="str">
        <f>IF(OR(F29="",NOT($H29="")),"",ROUND(_xlfn.FORECAST.LINEAR($S29,INDEX(AD$3:AD$13,MATCH($S29,$Y$3:$Y$13,1)):INDEX(AD$3:AD$13,MATCH($S29,$Y$3:$Y$13,1)+1),INDEX($Y$3:$Y$13,MATCH($S29,$Y$3:$Y$13,1)):INDEX($Y$3:$Y$13,MATCH($S29,$Y$3:$Y$13,1)+1)),0))</f>
        <v/>
      </c>
      <c r="AE29" s="47" t="str">
        <f>IF(OR(G29="",NOT($H29="")),"",ROUND(_xlfn.FORECAST.LINEAR($S29,INDEX(AE$3:AE$13,MATCH($S29,$Y$3:$Y$13,1)):INDEX(AE$3:AE$13,MATCH($S29,$Y$3:$Y$13,1)+1),INDEX($Y$3:$Y$13,MATCH($S29,$Y$3:$Y$13,1)):INDEX($Y$3:$Y$13,MATCH($S29,$Y$3:$Y$13,1)+1)),0))</f>
        <v/>
      </c>
      <c r="AF29" s="26" t="str">
        <f t="shared" si="12"/>
        <v/>
      </c>
      <c r="AG29" s="9" t="str">
        <f t="shared" si="13"/>
        <v/>
      </c>
      <c r="AH29" s="11" t="str">
        <f t="shared" si="14"/>
        <v/>
      </c>
      <c r="AI29" s="9" t="str">
        <f t="shared" si="15"/>
        <v/>
      </c>
      <c r="AJ29" s="10" t="str">
        <f t="shared" si="16"/>
        <v/>
      </c>
      <c r="AK29" s="10" t="str">
        <f t="shared" si="17"/>
        <v/>
      </c>
      <c r="AL29" s="11" t="str">
        <f t="shared" si="18"/>
        <v/>
      </c>
    </row>
    <row r="30" spans="1:40" ht="16.5" thickTop="1" thickBot="1" x14ac:dyDescent="0.3">
      <c r="B30" s="1">
        <v>1</v>
      </c>
      <c r="D30" s="1">
        <v>1</v>
      </c>
      <c r="H30" s="28" t="str">
        <f t="shared" si="19"/>
        <v/>
      </c>
      <c r="I30" s="29">
        <f>$R$8/$J30</f>
        <v>0.56099098214285714</v>
      </c>
      <c r="J30" s="75">
        <f t="shared" si="1"/>
        <v>28000</v>
      </c>
      <c r="K30" s="71">
        <f t="shared" si="2"/>
        <v>24000</v>
      </c>
      <c r="L30" s="72">
        <f>(IF($B30,$B$10)+IF($C30,$C$10))*$I30</f>
        <v>13463.783571428572</v>
      </c>
      <c r="M30" s="80">
        <f>$O$5-$L30</f>
        <v>-2000.783571428572</v>
      </c>
      <c r="N30" s="81">
        <f t="shared" si="4"/>
        <v>0</v>
      </c>
      <c r="O30" s="82">
        <f t="shared" si="21"/>
        <v>0</v>
      </c>
      <c r="P30" s="71">
        <f t="shared" si="5"/>
        <v>4000</v>
      </c>
      <c r="Q30" s="103">
        <f t="shared" si="22"/>
        <v>0</v>
      </c>
      <c r="R30" s="72">
        <f>(IF($D30,$D$10)+IF($E30,$E$10)+IF($F30,$F$10)+IF($G30,$G$10))*$I30+$Q30</f>
        <v>2243.9639285714284</v>
      </c>
      <c r="S30" s="29">
        <f>IF($P30=0,0,$R30/$P30)</f>
        <v>0.56099098214285714</v>
      </c>
      <c r="T30" s="62">
        <f t="shared" si="7"/>
        <v>0</v>
      </c>
      <c r="U30" s="90">
        <f t="shared" si="8"/>
        <v>2000.783571428572</v>
      </c>
      <c r="V30" s="62">
        <f t="shared" si="9"/>
        <v>0</v>
      </c>
      <c r="W30" s="94">
        <f t="shared" si="10"/>
        <v>0</v>
      </c>
      <c r="X30" s="154">
        <f t="shared" si="11"/>
        <v>-200.60249999999985</v>
      </c>
      <c r="Y30" s="154">
        <f t="shared" si="24"/>
        <v>-200.60249999999985</v>
      </c>
      <c r="Z30" s="1">
        <f>IF(OR(B30="",NOT($H30="")),"",ROUND(_xlfn.FORECAST.LINEAR($I30,INDEX(Z$3:Z$13,MATCH($I30,$Y$3:$Y$13,1)):INDEX(Z$3:Z$13,MATCH($I30,$Y$3:$Y$13,1)+1),INDEX($Y$3:$Y$13,MATCH($I30,$Y$3:$Y$13,1)):INDEX($Y$3:$Y$13,MATCH($I30,$Y$3:$Y$13,1)+1)),0))</f>
        <v>166</v>
      </c>
      <c r="AA30" s="39" t="str">
        <f>IF(OR(C30="",NOT($H30="")),"",ROUND(_xlfn.FORECAST.LINEAR($I30,INDEX(AA$3:AA$13,MATCH($I30,$Y$3:$Y$13,1)):INDEX(AA$3:AA$13,MATCH($I30,$Y$3:$Y$13,1)+1),INDEX($Y$3:$Y$13,MATCH($I30,$Y$3:$Y$13,1)):INDEX($Y$3:$Y$13,MATCH($I30,$Y$3:$Y$13,1)+1)),0))</f>
        <v/>
      </c>
      <c r="AB30" s="38">
        <f>IF(OR(D30="",NOT($H30="")),"",ROUND(_xlfn.FORECAST.LINEAR($S30,INDEX(AB$3:AB$13,MATCH($S30,$Y$3:$Y$13,1)):INDEX(AB$3:AB$13,MATCH($S30,$Y$3:$Y$13,1)+1),INDEX($Y$3:$Y$13,MATCH($S30,$Y$3:$Y$13,1)):INDEX($Y$3:$Y$13,MATCH($S30,$Y$3:$Y$13,1)+1)),0))</f>
        <v>196</v>
      </c>
      <c r="AC30" s="1" t="str">
        <f>IF(OR(E30="",NOT($H30="")),"",ROUND(_xlfn.FORECAST.LINEAR($S30,INDEX(AC$3:AC$13,MATCH($S30,$Y$3:$Y$13,1)):INDEX(AC$3:AC$13,MATCH($S30,$Y$3:$Y$13,1)+1),INDEX($Y$3:$Y$13,MATCH($S30,$Y$3:$Y$13,1)):INDEX($Y$3:$Y$13,MATCH($S30,$Y$3:$Y$13,1)+1)),0))</f>
        <v/>
      </c>
      <c r="AD30" s="1" t="str">
        <f>IF(OR(F30="",NOT($H30="")),"",ROUND(_xlfn.FORECAST.LINEAR($S30,INDEX(AD$3:AD$13,MATCH($S30,$Y$3:$Y$13,1)):INDEX(AD$3:AD$13,MATCH($S30,$Y$3:$Y$13,1)+1),INDEX($Y$3:$Y$13,MATCH($S30,$Y$3:$Y$13,1)):INDEX($Y$3:$Y$13,MATCH($S30,$Y$3:$Y$13,1)+1)),0))</f>
        <v/>
      </c>
      <c r="AE30" s="47" t="str">
        <f>IF(OR(G30="",NOT($H30="")),"",ROUND(_xlfn.FORECAST.LINEAR($S30,INDEX(AE$3:AE$13,MATCH($S30,$Y$3:$Y$13,1)):INDEX(AE$3:AE$13,MATCH($S30,$Y$3:$Y$13,1)+1),INDEX($Y$3:$Y$13,MATCH($S30,$Y$3:$Y$13,1)):INDEX($Y$3:$Y$13,MATCH($S30,$Y$3:$Y$13,1)+1)),0))</f>
        <v/>
      </c>
      <c r="AF30" s="26">
        <f t="shared" si="12"/>
        <v>362</v>
      </c>
      <c r="AG30" s="9" t="str">
        <f t="shared" si="13"/>
        <v/>
      </c>
      <c r="AH30" s="11" t="str">
        <f t="shared" si="14"/>
        <v/>
      </c>
      <c r="AI30" s="9" t="str">
        <f t="shared" si="15"/>
        <v/>
      </c>
      <c r="AJ30" s="10" t="str">
        <f t="shared" si="16"/>
        <v/>
      </c>
      <c r="AK30" s="10" t="str">
        <f t="shared" si="17"/>
        <v/>
      </c>
      <c r="AL30" s="11" t="str">
        <f t="shared" si="18"/>
        <v/>
      </c>
      <c r="AM30" s="10"/>
      <c r="AN30" s="2"/>
    </row>
    <row r="31" spans="1:40" ht="16.5" thickTop="1" thickBot="1" x14ac:dyDescent="0.3">
      <c r="B31" s="1">
        <v>1</v>
      </c>
      <c r="E31" s="1">
        <v>1</v>
      </c>
      <c r="H31" s="28" t="str">
        <f t="shared" si="19"/>
        <v/>
      </c>
      <c r="I31" s="29">
        <f t="shared" si="0"/>
        <v>0.56099098214285714</v>
      </c>
      <c r="J31" s="75">
        <f t="shared" si="1"/>
        <v>28000</v>
      </c>
      <c r="K31" s="71">
        <f t="shared" si="2"/>
        <v>24000</v>
      </c>
      <c r="L31" s="72">
        <f t="shared" si="3"/>
        <v>13463.783571428572</v>
      </c>
      <c r="M31" s="80">
        <f t="shared" si="20"/>
        <v>-2000.783571428572</v>
      </c>
      <c r="N31" s="81">
        <f t="shared" si="4"/>
        <v>0</v>
      </c>
      <c r="O31" s="82">
        <f t="shared" si="21"/>
        <v>0</v>
      </c>
      <c r="P31" s="71">
        <f t="shared" si="5"/>
        <v>4000</v>
      </c>
      <c r="Q31" s="103">
        <f t="shared" si="22"/>
        <v>0</v>
      </c>
      <c r="R31" s="72">
        <f t="shared" si="6"/>
        <v>2243.9639285714284</v>
      </c>
      <c r="S31" s="29">
        <f t="shared" si="23"/>
        <v>0.56099098214285714</v>
      </c>
      <c r="T31" s="62">
        <f t="shared" si="7"/>
        <v>0</v>
      </c>
      <c r="U31" s="90">
        <f t="shared" si="8"/>
        <v>2000.783571428572</v>
      </c>
      <c r="V31" s="62">
        <f t="shared" si="9"/>
        <v>0</v>
      </c>
      <c r="W31" s="94">
        <f t="shared" si="10"/>
        <v>0</v>
      </c>
      <c r="X31" s="154">
        <f t="shared" si="11"/>
        <v>-200.60249999999985</v>
      </c>
      <c r="Y31" s="154">
        <f t="shared" si="24"/>
        <v>-200.60249999999985</v>
      </c>
      <c r="Z31" s="1">
        <f>IF(OR(B31="",NOT($H31="")),"",ROUND(_xlfn.FORECAST.LINEAR($I31,INDEX(Z$3:Z$13,MATCH($I31,$Y$3:$Y$13,1)):INDEX(Z$3:Z$13,MATCH($I31,$Y$3:$Y$13,1)+1),INDEX($Y$3:$Y$13,MATCH($I31,$Y$3:$Y$13,1)):INDEX($Y$3:$Y$13,MATCH($I31,$Y$3:$Y$13,1)+1)),0))</f>
        <v>166</v>
      </c>
      <c r="AA31" s="39" t="str">
        <f>IF(OR(C31="",NOT($H31="")),"",ROUND(_xlfn.FORECAST.LINEAR($I31,INDEX(AA$3:AA$13,MATCH($I31,$Y$3:$Y$13,1)):INDEX(AA$3:AA$13,MATCH($I31,$Y$3:$Y$13,1)+1),INDEX($Y$3:$Y$13,MATCH($I31,$Y$3:$Y$13,1)):INDEX($Y$3:$Y$13,MATCH($I31,$Y$3:$Y$13,1)+1)),0))</f>
        <v/>
      </c>
      <c r="AB31" s="38" t="str">
        <f>IF(OR(D31="",NOT($H31="")),"",ROUND(_xlfn.FORECAST.LINEAR($S31,INDEX(AB$3:AB$13,MATCH($S31,$Y$3:$Y$13,1)):INDEX(AB$3:AB$13,MATCH($S31,$Y$3:$Y$13,1)+1),INDEX($Y$3:$Y$13,MATCH($S31,$Y$3:$Y$13,1)):INDEX($Y$3:$Y$13,MATCH($S31,$Y$3:$Y$13,1)+1)),0))</f>
        <v/>
      </c>
      <c r="AC31" s="1">
        <f>IF(OR(E31="",NOT($H31="")),"",ROUND(_xlfn.FORECAST.LINEAR($S31,INDEX(AC$3:AC$13,MATCH($S31,$Y$3:$Y$13,1)):INDEX(AC$3:AC$13,MATCH($S31,$Y$3:$Y$13,1)+1),INDEX($Y$3:$Y$13,MATCH($S31,$Y$3:$Y$13,1)):INDEX($Y$3:$Y$13,MATCH($S31,$Y$3:$Y$13,1)+1)),0))</f>
        <v>196</v>
      </c>
      <c r="AD31" s="1" t="str">
        <f>IF(OR(F31="",NOT($H31="")),"",ROUND(_xlfn.FORECAST.LINEAR($S31,INDEX(AD$3:AD$13,MATCH($S31,$Y$3:$Y$13,1)):INDEX(AD$3:AD$13,MATCH($S31,$Y$3:$Y$13,1)+1),INDEX($Y$3:$Y$13,MATCH($S31,$Y$3:$Y$13,1)):INDEX($Y$3:$Y$13,MATCH($S31,$Y$3:$Y$13,1)+1)),0))</f>
        <v/>
      </c>
      <c r="AE31" s="47" t="str">
        <f>IF(OR(G31="",NOT($H31="")),"",ROUND(_xlfn.FORECAST.LINEAR($S31,INDEX(AE$3:AE$13,MATCH($S31,$Y$3:$Y$13,1)):INDEX(AE$3:AE$13,MATCH($S31,$Y$3:$Y$13,1)+1),INDEX($Y$3:$Y$13,MATCH($S31,$Y$3:$Y$13,1)):INDEX($Y$3:$Y$13,MATCH($S31,$Y$3:$Y$13,1)+1)),0))</f>
        <v/>
      </c>
      <c r="AF31" s="26">
        <f t="shared" si="12"/>
        <v>362</v>
      </c>
      <c r="AG31" s="9" t="str">
        <f t="shared" si="13"/>
        <v/>
      </c>
      <c r="AH31" s="11" t="str">
        <f t="shared" si="14"/>
        <v/>
      </c>
      <c r="AI31" s="9" t="str">
        <f t="shared" si="15"/>
        <v/>
      </c>
      <c r="AJ31" s="10" t="str">
        <f t="shared" si="16"/>
        <v/>
      </c>
      <c r="AK31" s="10" t="str">
        <f t="shared" si="17"/>
        <v/>
      </c>
      <c r="AL31" s="11" t="str">
        <f t="shared" si="18"/>
        <v/>
      </c>
    </row>
    <row r="32" spans="1:40" ht="16.5" thickTop="1" thickBot="1" x14ac:dyDescent="0.3">
      <c r="B32" s="1">
        <v>1</v>
      </c>
      <c r="F32" s="1">
        <v>1</v>
      </c>
      <c r="H32" s="28" t="str">
        <f t="shared" si="19"/>
        <v/>
      </c>
      <c r="I32" s="29">
        <f t="shared" si="0"/>
        <v>0.56099098214285714</v>
      </c>
      <c r="J32" s="75">
        <f t="shared" si="1"/>
        <v>28000</v>
      </c>
      <c r="K32" s="71">
        <f t="shared" si="2"/>
        <v>24000</v>
      </c>
      <c r="L32" s="72">
        <f t="shared" si="3"/>
        <v>13463.783571428572</v>
      </c>
      <c r="M32" s="80">
        <f t="shared" si="20"/>
        <v>-2000.783571428572</v>
      </c>
      <c r="N32" s="81">
        <f t="shared" si="4"/>
        <v>0</v>
      </c>
      <c r="O32" s="82">
        <f t="shared" si="21"/>
        <v>0</v>
      </c>
      <c r="P32" s="71">
        <f t="shared" si="5"/>
        <v>4000</v>
      </c>
      <c r="Q32" s="103">
        <f t="shared" si="22"/>
        <v>0</v>
      </c>
      <c r="R32" s="72">
        <f t="shared" si="6"/>
        <v>2243.9639285714284</v>
      </c>
      <c r="S32" s="29">
        <f t="shared" si="23"/>
        <v>0.56099098214285714</v>
      </c>
      <c r="T32" s="62">
        <f t="shared" si="7"/>
        <v>0</v>
      </c>
      <c r="U32" s="90">
        <f t="shared" si="8"/>
        <v>2000.783571428572</v>
      </c>
      <c r="V32" s="62">
        <f t="shared" si="9"/>
        <v>0</v>
      </c>
      <c r="W32" s="94">
        <f t="shared" si="10"/>
        <v>0</v>
      </c>
      <c r="X32" s="154">
        <f t="shared" si="11"/>
        <v>-200.60249999999985</v>
      </c>
      <c r="Y32" s="154">
        <f t="shared" si="24"/>
        <v>-200.60249999999985</v>
      </c>
      <c r="Z32" s="1">
        <f>IF(OR(B32="",NOT($H32="")),"",ROUND(_xlfn.FORECAST.LINEAR($I32,INDEX(Z$3:Z$13,MATCH($I32,$Y$3:$Y$13,1)):INDEX(Z$3:Z$13,MATCH($I32,$Y$3:$Y$13,1)+1),INDEX($Y$3:$Y$13,MATCH($I32,$Y$3:$Y$13,1)):INDEX($Y$3:$Y$13,MATCH($I32,$Y$3:$Y$13,1)+1)),0))</f>
        <v>166</v>
      </c>
      <c r="AA32" s="39" t="str">
        <f>IF(OR(C32="",NOT($H32="")),"",ROUND(_xlfn.FORECAST.LINEAR($I32,INDEX(AA$3:AA$13,MATCH($I32,$Y$3:$Y$13,1)):INDEX(AA$3:AA$13,MATCH($I32,$Y$3:$Y$13,1)+1),INDEX($Y$3:$Y$13,MATCH($I32,$Y$3:$Y$13,1)):INDEX($Y$3:$Y$13,MATCH($I32,$Y$3:$Y$13,1)+1)),0))</f>
        <v/>
      </c>
      <c r="AB32" s="38" t="str">
        <f>IF(OR(D32="",NOT($H32="")),"",ROUND(_xlfn.FORECAST.LINEAR($S32,INDEX(AB$3:AB$13,MATCH($S32,$Y$3:$Y$13,1)):INDEX(AB$3:AB$13,MATCH($S32,$Y$3:$Y$13,1)+1),INDEX($Y$3:$Y$13,MATCH($S32,$Y$3:$Y$13,1)):INDEX($Y$3:$Y$13,MATCH($S32,$Y$3:$Y$13,1)+1)),0))</f>
        <v/>
      </c>
      <c r="AC32" s="1" t="str">
        <f>IF(OR(E32="",NOT($H32="")),"",ROUND(_xlfn.FORECAST.LINEAR($S32,INDEX(AC$3:AC$13,MATCH($S32,$Y$3:$Y$13,1)):INDEX(AC$3:AC$13,MATCH($S32,$Y$3:$Y$13,1)+1),INDEX($Y$3:$Y$13,MATCH($S32,$Y$3:$Y$13,1)):INDEX($Y$3:$Y$13,MATCH($S32,$Y$3:$Y$13,1)+1)),0))</f>
        <v/>
      </c>
      <c r="AD32" s="1">
        <f>IF(OR(F32="",NOT($H32="")),"",ROUND(_xlfn.FORECAST.LINEAR($S32,INDEX(AD$3:AD$13,MATCH($S32,$Y$3:$Y$13,1)):INDEX(AD$3:AD$13,MATCH($S32,$Y$3:$Y$13,1)+1),INDEX($Y$3:$Y$13,MATCH($S32,$Y$3:$Y$13,1)):INDEX($Y$3:$Y$13,MATCH($S32,$Y$3:$Y$13,1)+1)),0))</f>
        <v>188</v>
      </c>
      <c r="AE32" s="47" t="str">
        <f>IF(OR(G32="",NOT($H32="")),"",ROUND(_xlfn.FORECAST.LINEAR($S32,INDEX(AE$3:AE$13,MATCH($S32,$Y$3:$Y$13,1)):INDEX(AE$3:AE$13,MATCH($S32,$Y$3:$Y$13,1)+1),INDEX($Y$3:$Y$13,MATCH($S32,$Y$3:$Y$13,1)):INDEX($Y$3:$Y$13,MATCH($S32,$Y$3:$Y$13,1)+1)),0))</f>
        <v/>
      </c>
      <c r="AF32" s="26">
        <f t="shared" si="12"/>
        <v>354</v>
      </c>
      <c r="AG32" s="9" t="str">
        <f t="shared" si="13"/>
        <v/>
      </c>
      <c r="AH32" s="11" t="str">
        <f t="shared" si="14"/>
        <v/>
      </c>
      <c r="AI32" s="9" t="str">
        <f t="shared" si="15"/>
        <v/>
      </c>
      <c r="AJ32" s="10" t="str">
        <f t="shared" si="16"/>
        <v/>
      </c>
      <c r="AK32" s="10" t="str">
        <f t="shared" si="17"/>
        <v/>
      </c>
      <c r="AL32" s="11" t="str">
        <f t="shared" si="18"/>
        <v/>
      </c>
    </row>
    <row r="33" spans="2:40" ht="16.5" thickTop="1" thickBot="1" x14ac:dyDescent="0.3">
      <c r="B33" s="1">
        <v>1</v>
      </c>
      <c r="G33" s="1">
        <v>1</v>
      </c>
      <c r="H33" s="28" t="str">
        <f t="shared" si="19"/>
        <v/>
      </c>
      <c r="I33" s="29">
        <f t="shared" si="0"/>
        <v>0.56099098214285714</v>
      </c>
      <c r="J33" s="75">
        <f t="shared" si="1"/>
        <v>28000</v>
      </c>
      <c r="K33" s="71">
        <f t="shared" si="2"/>
        <v>24000</v>
      </c>
      <c r="L33" s="72">
        <f t="shared" si="3"/>
        <v>13463.783571428572</v>
      </c>
      <c r="M33" s="80">
        <f t="shared" si="20"/>
        <v>-2000.783571428572</v>
      </c>
      <c r="N33" s="81">
        <f t="shared" si="4"/>
        <v>0</v>
      </c>
      <c r="O33" s="82">
        <f t="shared" si="21"/>
        <v>0</v>
      </c>
      <c r="P33" s="71">
        <f t="shared" si="5"/>
        <v>4000</v>
      </c>
      <c r="Q33" s="103">
        <f t="shared" si="22"/>
        <v>0</v>
      </c>
      <c r="R33" s="72">
        <f t="shared" si="6"/>
        <v>2243.9639285714284</v>
      </c>
      <c r="S33" s="29">
        <f t="shared" si="23"/>
        <v>0.56099098214285714</v>
      </c>
      <c r="T33" s="62">
        <f t="shared" si="7"/>
        <v>0</v>
      </c>
      <c r="U33" s="90">
        <f t="shared" si="8"/>
        <v>2000.783571428572</v>
      </c>
      <c r="V33" s="62">
        <f t="shared" si="9"/>
        <v>0</v>
      </c>
      <c r="W33" s="94">
        <f t="shared" si="10"/>
        <v>0</v>
      </c>
      <c r="X33" s="154">
        <f t="shared" si="11"/>
        <v>-200.60249999999985</v>
      </c>
      <c r="Y33" s="154">
        <f t="shared" si="24"/>
        <v>-200.60249999999985</v>
      </c>
      <c r="Z33" s="1">
        <f>IF(OR(B33="",NOT($H33="")),"",ROUND(_xlfn.FORECAST.LINEAR($I33,INDEX(Z$3:Z$13,MATCH($I33,$Y$3:$Y$13,1)):INDEX(Z$3:Z$13,MATCH($I33,$Y$3:$Y$13,1)+1),INDEX($Y$3:$Y$13,MATCH($I33,$Y$3:$Y$13,1)):INDEX($Y$3:$Y$13,MATCH($I33,$Y$3:$Y$13,1)+1)),0))</f>
        <v>166</v>
      </c>
      <c r="AA33" s="39" t="str">
        <f>IF(OR(C33="",NOT($H33="")),"",ROUND(_xlfn.FORECAST.LINEAR($I33,INDEX(AA$3:AA$13,MATCH($I33,$Y$3:$Y$13,1)):INDEX(AA$3:AA$13,MATCH($I33,$Y$3:$Y$13,1)+1),INDEX($Y$3:$Y$13,MATCH($I33,$Y$3:$Y$13,1)):INDEX($Y$3:$Y$13,MATCH($I33,$Y$3:$Y$13,1)+1)),0))</f>
        <v/>
      </c>
      <c r="AB33" s="38" t="str">
        <f>IF(OR(D33="",NOT($H33="")),"",ROUND(_xlfn.FORECAST.LINEAR($S33,INDEX(AB$3:AB$13,MATCH($S33,$Y$3:$Y$13,1)):INDEX(AB$3:AB$13,MATCH($S33,$Y$3:$Y$13,1)+1),INDEX($Y$3:$Y$13,MATCH($S33,$Y$3:$Y$13,1)):INDEX($Y$3:$Y$13,MATCH($S33,$Y$3:$Y$13,1)+1)),0))</f>
        <v/>
      </c>
      <c r="AC33" s="1" t="str">
        <f>IF(OR(E33="",NOT($H33="")),"",ROUND(_xlfn.FORECAST.LINEAR($S33,INDEX(AC$3:AC$13,MATCH($S33,$Y$3:$Y$13,1)):INDEX(AC$3:AC$13,MATCH($S33,$Y$3:$Y$13,1)+1),INDEX($Y$3:$Y$13,MATCH($S33,$Y$3:$Y$13,1)):INDEX($Y$3:$Y$13,MATCH($S33,$Y$3:$Y$13,1)+1)),0))</f>
        <v/>
      </c>
      <c r="AD33" s="1" t="str">
        <f>IF(OR(F33="",NOT($H33="")),"",ROUND(_xlfn.FORECAST.LINEAR($S33,INDEX(AD$3:AD$13,MATCH($S33,$Y$3:$Y$13,1)):INDEX(AD$3:AD$13,MATCH($S33,$Y$3:$Y$13,1)+1),INDEX($Y$3:$Y$13,MATCH($S33,$Y$3:$Y$13,1)):INDEX($Y$3:$Y$13,MATCH($S33,$Y$3:$Y$13,1)+1)),0))</f>
        <v/>
      </c>
      <c r="AE33" s="47">
        <f>IF(OR(G33="",NOT($H33="")),"",ROUND(_xlfn.FORECAST.LINEAR($S33,INDEX(AE$3:AE$13,MATCH($S33,$Y$3:$Y$13,1)):INDEX(AE$3:AE$13,MATCH($S33,$Y$3:$Y$13,1)+1),INDEX($Y$3:$Y$13,MATCH($S33,$Y$3:$Y$13,1)):INDEX($Y$3:$Y$13,MATCH($S33,$Y$3:$Y$13,1)+1)),0))</f>
        <v>216</v>
      </c>
      <c r="AF33" s="26">
        <f t="shared" si="12"/>
        <v>382</v>
      </c>
      <c r="AG33" s="9" t="str">
        <f t="shared" si="13"/>
        <v/>
      </c>
      <c r="AH33" s="11" t="str">
        <f t="shared" si="14"/>
        <v/>
      </c>
      <c r="AI33" s="9" t="str">
        <f t="shared" si="15"/>
        <v/>
      </c>
      <c r="AJ33" s="10" t="str">
        <f t="shared" si="16"/>
        <v/>
      </c>
      <c r="AK33" s="10" t="str">
        <f t="shared" si="17"/>
        <v/>
      </c>
      <c r="AL33" s="11" t="str">
        <f t="shared" si="18"/>
        <v/>
      </c>
    </row>
    <row r="34" spans="2:40" ht="16.5" thickTop="1" thickBot="1" x14ac:dyDescent="0.3">
      <c r="C34" s="1">
        <v>1</v>
      </c>
      <c r="D34" s="1">
        <v>1</v>
      </c>
      <c r="H34" s="28" t="str">
        <f t="shared" si="19"/>
        <v/>
      </c>
      <c r="I34" s="29">
        <f t="shared" si="0"/>
        <v>0.56099098214285714</v>
      </c>
      <c r="J34" s="75">
        <f t="shared" si="1"/>
        <v>28000</v>
      </c>
      <c r="K34" s="71">
        <f t="shared" si="2"/>
        <v>24000</v>
      </c>
      <c r="L34" s="72">
        <f t="shared" si="3"/>
        <v>13463.783571428572</v>
      </c>
      <c r="M34" s="80">
        <f t="shared" si="20"/>
        <v>-2000.783571428572</v>
      </c>
      <c r="N34" s="81">
        <f t="shared" si="4"/>
        <v>0</v>
      </c>
      <c r="O34" s="82">
        <f t="shared" si="21"/>
        <v>0</v>
      </c>
      <c r="P34" s="71">
        <f t="shared" si="5"/>
        <v>4000</v>
      </c>
      <c r="Q34" s="103">
        <f t="shared" si="22"/>
        <v>0</v>
      </c>
      <c r="R34" s="72">
        <f t="shared" si="6"/>
        <v>2243.9639285714284</v>
      </c>
      <c r="S34" s="29">
        <f t="shared" si="23"/>
        <v>0.56099098214285714</v>
      </c>
      <c r="T34" s="62">
        <f t="shared" si="7"/>
        <v>0</v>
      </c>
      <c r="U34" s="90">
        <f t="shared" si="8"/>
        <v>0</v>
      </c>
      <c r="V34" s="62">
        <f t="shared" si="9"/>
        <v>0</v>
      </c>
      <c r="W34" s="94">
        <f t="shared" si="10"/>
        <v>2000.783571428572</v>
      </c>
      <c r="X34" s="154">
        <f t="shared" si="11"/>
        <v>-200.60249999999985</v>
      </c>
      <c r="Y34" s="154">
        <f t="shared" si="24"/>
        <v>-200.60249999999985</v>
      </c>
      <c r="Z34" s="1" t="str">
        <f>IF(OR(B34="",NOT($H34="")),"",ROUND(_xlfn.FORECAST.LINEAR($I34,INDEX(Z$3:Z$13,MATCH($I34,$Y$3:$Y$13,1)):INDEX(Z$3:Z$13,MATCH($I34,$Y$3:$Y$13,1)+1),INDEX($Y$3:$Y$13,MATCH($I34,$Y$3:$Y$13,1)):INDEX($Y$3:$Y$13,MATCH($I34,$Y$3:$Y$13,1)+1)),0))</f>
        <v/>
      </c>
      <c r="AA34" s="39">
        <f>IF(OR(C34="",NOT($H34="")),"",ROUND(_xlfn.FORECAST.LINEAR($I34,INDEX(AA$3:AA$13,MATCH($I34,$Y$3:$Y$13,1)):INDEX(AA$3:AA$13,MATCH($I34,$Y$3:$Y$13,1)+1),INDEX($Y$3:$Y$13,MATCH($I34,$Y$3:$Y$13,1)):INDEX($Y$3:$Y$13,MATCH($I34,$Y$3:$Y$13,1)+1)),0))</f>
        <v>166</v>
      </c>
      <c r="AB34" s="38">
        <f>IF(OR(D34="",NOT($H34="")),"",ROUND(_xlfn.FORECAST.LINEAR($S34,INDEX(AB$3:AB$13,MATCH($S34,$Y$3:$Y$13,1)):INDEX(AB$3:AB$13,MATCH($S34,$Y$3:$Y$13,1)+1),INDEX($Y$3:$Y$13,MATCH($S34,$Y$3:$Y$13,1)):INDEX($Y$3:$Y$13,MATCH($S34,$Y$3:$Y$13,1)+1)),0))</f>
        <v>196</v>
      </c>
      <c r="AC34" s="1" t="str">
        <f>IF(OR(E34="",NOT($H34="")),"",ROUND(_xlfn.FORECAST.LINEAR($S34,INDEX(AC$3:AC$13,MATCH($S34,$Y$3:$Y$13,1)):INDEX(AC$3:AC$13,MATCH($S34,$Y$3:$Y$13,1)+1),INDEX($Y$3:$Y$13,MATCH($S34,$Y$3:$Y$13,1)):INDEX($Y$3:$Y$13,MATCH($S34,$Y$3:$Y$13,1)+1)),0))</f>
        <v/>
      </c>
      <c r="AD34" s="1" t="str">
        <f>IF(OR(F34="",NOT($H34="")),"",ROUND(_xlfn.FORECAST.LINEAR($S34,INDEX(AD$3:AD$13,MATCH($S34,$Y$3:$Y$13,1)):INDEX(AD$3:AD$13,MATCH($S34,$Y$3:$Y$13,1)+1),INDEX($Y$3:$Y$13,MATCH($S34,$Y$3:$Y$13,1)):INDEX($Y$3:$Y$13,MATCH($S34,$Y$3:$Y$13,1)+1)),0))</f>
        <v/>
      </c>
      <c r="AE34" s="47" t="str">
        <f>IF(OR(G34="",NOT($H34="")),"",ROUND(_xlfn.FORECAST.LINEAR($S34,INDEX(AE$3:AE$13,MATCH($S34,$Y$3:$Y$13,1)):INDEX(AE$3:AE$13,MATCH($S34,$Y$3:$Y$13,1)+1),INDEX($Y$3:$Y$13,MATCH($S34,$Y$3:$Y$13,1)):INDEX($Y$3:$Y$13,MATCH($S34,$Y$3:$Y$13,1)+1)),0))</f>
        <v/>
      </c>
      <c r="AF34" s="26">
        <f t="shared" si="12"/>
        <v>362</v>
      </c>
      <c r="AG34" s="9" t="str">
        <f t="shared" si="13"/>
        <v/>
      </c>
      <c r="AH34" s="11" t="str">
        <f t="shared" si="14"/>
        <v/>
      </c>
      <c r="AI34" s="9" t="str">
        <f t="shared" si="15"/>
        <v/>
      </c>
      <c r="AJ34" s="10" t="str">
        <f t="shared" si="16"/>
        <v/>
      </c>
      <c r="AK34" s="10" t="str">
        <f t="shared" si="17"/>
        <v/>
      </c>
      <c r="AL34" s="11" t="str">
        <f t="shared" si="18"/>
        <v/>
      </c>
    </row>
    <row r="35" spans="2:40" ht="16.5" thickTop="1" thickBot="1" x14ac:dyDescent="0.3">
      <c r="C35" s="1">
        <v>1</v>
      </c>
      <c r="E35" s="1">
        <v>1</v>
      </c>
      <c r="H35" s="28" t="str">
        <f t="shared" si="19"/>
        <v/>
      </c>
      <c r="I35" s="29">
        <f t="shared" si="0"/>
        <v>0.56099098214285714</v>
      </c>
      <c r="J35" s="75">
        <f t="shared" si="1"/>
        <v>28000</v>
      </c>
      <c r="K35" s="71">
        <f t="shared" si="2"/>
        <v>24000</v>
      </c>
      <c r="L35" s="72">
        <f t="shared" si="3"/>
        <v>13463.783571428572</v>
      </c>
      <c r="M35" s="80">
        <f t="shared" si="20"/>
        <v>-2000.783571428572</v>
      </c>
      <c r="N35" s="81">
        <f t="shared" si="4"/>
        <v>0</v>
      </c>
      <c r="O35" s="82">
        <f t="shared" si="21"/>
        <v>0</v>
      </c>
      <c r="P35" s="71">
        <f t="shared" si="5"/>
        <v>4000</v>
      </c>
      <c r="Q35" s="103">
        <f t="shared" si="22"/>
        <v>0</v>
      </c>
      <c r="R35" s="72">
        <f t="shared" si="6"/>
        <v>2243.9639285714284</v>
      </c>
      <c r="S35" s="29">
        <f t="shared" si="23"/>
        <v>0.56099098214285714</v>
      </c>
      <c r="T35" s="62">
        <f t="shared" si="7"/>
        <v>0</v>
      </c>
      <c r="U35" s="90">
        <f t="shared" si="8"/>
        <v>0</v>
      </c>
      <c r="V35" s="62">
        <f t="shared" si="9"/>
        <v>0</v>
      </c>
      <c r="W35" s="94">
        <f t="shared" si="10"/>
        <v>2000.783571428572</v>
      </c>
      <c r="X35" s="154">
        <f t="shared" si="11"/>
        <v>-200.60249999999985</v>
      </c>
      <c r="Y35" s="154">
        <f t="shared" si="24"/>
        <v>-200.60249999999985</v>
      </c>
      <c r="Z35" s="1" t="str">
        <f>IF(OR(B35="",NOT($H35="")),"",ROUND(_xlfn.FORECAST.LINEAR($I35,INDEX(Z$3:Z$13,MATCH($I35,$Y$3:$Y$13,1)):INDEX(Z$3:Z$13,MATCH($I35,$Y$3:$Y$13,1)+1),INDEX($Y$3:$Y$13,MATCH($I35,$Y$3:$Y$13,1)):INDEX($Y$3:$Y$13,MATCH($I35,$Y$3:$Y$13,1)+1)),0))</f>
        <v/>
      </c>
      <c r="AA35" s="39">
        <f>IF(OR(C35="",NOT($H35="")),"",ROUND(_xlfn.FORECAST.LINEAR($I35,INDEX(AA$3:AA$13,MATCH($I35,$Y$3:$Y$13,1)):INDEX(AA$3:AA$13,MATCH($I35,$Y$3:$Y$13,1)+1),INDEX($Y$3:$Y$13,MATCH($I35,$Y$3:$Y$13,1)):INDEX($Y$3:$Y$13,MATCH($I35,$Y$3:$Y$13,1)+1)),0))</f>
        <v>166</v>
      </c>
      <c r="AB35" s="38" t="str">
        <f>IF(OR(D35="",NOT($H35="")),"",ROUND(_xlfn.FORECAST.LINEAR($S35,INDEX(AB$3:AB$13,MATCH($S35,$Y$3:$Y$13,1)):INDEX(AB$3:AB$13,MATCH($S35,$Y$3:$Y$13,1)+1),INDEX($Y$3:$Y$13,MATCH($S35,$Y$3:$Y$13,1)):INDEX($Y$3:$Y$13,MATCH($S35,$Y$3:$Y$13,1)+1)),0))</f>
        <v/>
      </c>
      <c r="AC35" s="1">
        <f>IF(OR(E35="",NOT($H35="")),"",ROUND(_xlfn.FORECAST.LINEAR($S35,INDEX(AC$3:AC$13,MATCH($S35,$Y$3:$Y$13,1)):INDEX(AC$3:AC$13,MATCH($S35,$Y$3:$Y$13,1)+1),INDEX($Y$3:$Y$13,MATCH($S35,$Y$3:$Y$13,1)):INDEX($Y$3:$Y$13,MATCH($S35,$Y$3:$Y$13,1)+1)),0))</f>
        <v>196</v>
      </c>
      <c r="AD35" s="1" t="str">
        <f>IF(OR(F35="",NOT($H35="")),"",ROUND(_xlfn.FORECAST.LINEAR($S35,INDEX(AD$3:AD$13,MATCH($S35,$Y$3:$Y$13,1)):INDEX(AD$3:AD$13,MATCH($S35,$Y$3:$Y$13,1)+1),INDEX($Y$3:$Y$13,MATCH($S35,$Y$3:$Y$13,1)):INDEX($Y$3:$Y$13,MATCH($S35,$Y$3:$Y$13,1)+1)),0))</f>
        <v/>
      </c>
      <c r="AE35" s="47" t="str">
        <f>IF(OR(G35="",NOT($H35="")),"",ROUND(_xlfn.FORECAST.LINEAR($S35,INDEX(AE$3:AE$13,MATCH($S35,$Y$3:$Y$13,1)):INDEX(AE$3:AE$13,MATCH($S35,$Y$3:$Y$13,1)+1),INDEX($Y$3:$Y$13,MATCH($S35,$Y$3:$Y$13,1)):INDEX($Y$3:$Y$13,MATCH($S35,$Y$3:$Y$13,1)+1)),0))</f>
        <v/>
      </c>
      <c r="AF35" s="26">
        <f t="shared" si="12"/>
        <v>362</v>
      </c>
      <c r="AG35" s="9" t="str">
        <f t="shared" si="13"/>
        <v/>
      </c>
      <c r="AH35" s="11" t="str">
        <f t="shared" si="14"/>
        <v/>
      </c>
      <c r="AI35" s="9" t="str">
        <f t="shared" si="15"/>
        <v/>
      </c>
      <c r="AJ35" s="10" t="str">
        <f t="shared" si="16"/>
        <v/>
      </c>
      <c r="AK35" s="10" t="str">
        <f t="shared" si="17"/>
        <v/>
      </c>
      <c r="AL35" s="11" t="str">
        <f t="shared" si="18"/>
        <v/>
      </c>
    </row>
    <row r="36" spans="2:40" ht="16.5" thickTop="1" thickBot="1" x14ac:dyDescent="0.3">
      <c r="C36" s="1">
        <v>1</v>
      </c>
      <c r="F36" s="1">
        <v>1</v>
      </c>
      <c r="H36" s="28" t="str">
        <f t="shared" si="19"/>
        <v/>
      </c>
      <c r="I36" s="29">
        <f t="shared" si="0"/>
        <v>0.56099098214285714</v>
      </c>
      <c r="J36" s="75">
        <f t="shared" si="1"/>
        <v>28000</v>
      </c>
      <c r="K36" s="71">
        <f t="shared" si="2"/>
        <v>24000</v>
      </c>
      <c r="L36" s="72">
        <f t="shared" si="3"/>
        <v>13463.783571428572</v>
      </c>
      <c r="M36" s="80">
        <f t="shared" si="20"/>
        <v>-2000.783571428572</v>
      </c>
      <c r="N36" s="81">
        <f t="shared" si="4"/>
        <v>0</v>
      </c>
      <c r="O36" s="82">
        <f t="shared" si="21"/>
        <v>0</v>
      </c>
      <c r="P36" s="71">
        <f t="shared" si="5"/>
        <v>4000</v>
      </c>
      <c r="Q36" s="103">
        <f t="shared" si="22"/>
        <v>0</v>
      </c>
      <c r="R36" s="72">
        <f t="shared" si="6"/>
        <v>2243.9639285714284</v>
      </c>
      <c r="S36" s="29">
        <f t="shared" si="23"/>
        <v>0.56099098214285714</v>
      </c>
      <c r="T36" s="62">
        <f t="shared" si="7"/>
        <v>0</v>
      </c>
      <c r="U36" s="90">
        <f t="shared" si="8"/>
        <v>0</v>
      </c>
      <c r="V36" s="62">
        <f t="shared" si="9"/>
        <v>0</v>
      </c>
      <c r="W36" s="94">
        <f t="shared" si="10"/>
        <v>2000.783571428572</v>
      </c>
      <c r="X36" s="154">
        <f t="shared" si="11"/>
        <v>-200.60249999999985</v>
      </c>
      <c r="Y36" s="154">
        <f t="shared" si="24"/>
        <v>-200.60249999999985</v>
      </c>
      <c r="Z36" s="1" t="str">
        <f>IF(OR(B36="",NOT($H36="")),"",ROUND(_xlfn.FORECAST.LINEAR($I36,INDEX(Z$3:Z$13,MATCH($I36,$Y$3:$Y$13,1)):INDEX(Z$3:Z$13,MATCH($I36,$Y$3:$Y$13,1)+1),INDEX($Y$3:$Y$13,MATCH($I36,$Y$3:$Y$13,1)):INDEX($Y$3:$Y$13,MATCH($I36,$Y$3:$Y$13,1)+1)),0))</f>
        <v/>
      </c>
      <c r="AA36" s="39">
        <f>IF(OR(C36="",NOT($H36="")),"",ROUND(_xlfn.FORECAST.LINEAR($I36,INDEX(AA$3:AA$13,MATCH($I36,$Y$3:$Y$13,1)):INDEX(AA$3:AA$13,MATCH($I36,$Y$3:$Y$13,1)+1),INDEX($Y$3:$Y$13,MATCH($I36,$Y$3:$Y$13,1)):INDEX($Y$3:$Y$13,MATCH($I36,$Y$3:$Y$13,1)+1)),0))</f>
        <v>166</v>
      </c>
      <c r="AB36" s="38" t="str">
        <f>IF(OR(D36="",NOT($H36="")),"",ROUND(_xlfn.FORECAST.LINEAR($S36,INDEX(AB$3:AB$13,MATCH($S36,$Y$3:$Y$13,1)):INDEX(AB$3:AB$13,MATCH($S36,$Y$3:$Y$13,1)+1),INDEX($Y$3:$Y$13,MATCH($S36,$Y$3:$Y$13,1)):INDEX($Y$3:$Y$13,MATCH($S36,$Y$3:$Y$13,1)+1)),0))</f>
        <v/>
      </c>
      <c r="AC36" s="1" t="str">
        <f>IF(OR(E36="",NOT($H36="")),"",ROUND(_xlfn.FORECAST.LINEAR($S36,INDEX(AC$3:AC$13,MATCH($S36,$Y$3:$Y$13,1)):INDEX(AC$3:AC$13,MATCH($S36,$Y$3:$Y$13,1)+1),INDEX($Y$3:$Y$13,MATCH($S36,$Y$3:$Y$13,1)):INDEX($Y$3:$Y$13,MATCH($S36,$Y$3:$Y$13,1)+1)),0))</f>
        <v/>
      </c>
      <c r="AD36" s="1">
        <f>IF(OR(F36="",NOT($H36="")),"",ROUND(_xlfn.FORECAST.LINEAR($S36,INDEX(AD$3:AD$13,MATCH($S36,$Y$3:$Y$13,1)):INDEX(AD$3:AD$13,MATCH($S36,$Y$3:$Y$13,1)+1),INDEX($Y$3:$Y$13,MATCH($S36,$Y$3:$Y$13,1)):INDEX($Y$3:$Y$13,MATCH($S36,$Y$3:$Y$13,1)+1)),0))</f>
        <v>188</v>
      </c>
      <c r="AE36" s="47" t="str">
        <f>IF(OR(G36="",NOT($H36="")),"",ROUND(_xlfn.FORECAST.LINEAR($S36,INDEX(AE$3:AE$13,MATCH($S36,$Y$3:$Y$13,1)):INDEX(AE$3:AE$13,MATCH($S36,$Y$3:$Y$13,1)+1),INDEX($Y$3:$Y$13,MATCH($S36,$Y$3:$Y$13,1)):INDEX($Y$3:$Y$13,MATCH($S36,$Y$3:$Y$13,1)+1)),0))</f>
        <v/>
      </c>
      <c r="AF36" s="26">
        <f t="shared" si="12"/>
        <v>354</v>
      </c>
      <c r="AG36" s="9" t="str">
        <f t="shared" si="13"/>
        <v/>
      </c>
      <c r="AH36" s="11" t="str">
        <f t="shared" si="14"/>
        <v/>
      </c>
      <c r="AI36" s="9" t="str">
        <f t="shared" si="15"/>
        <v/>
      </c>
      <c r="AJ36" s="10" t="str">
        <f t="shared" si="16"/>
        <v/>
      </c>
      <c r="AK36" s="10" t="str">
        <f t="shared" si="17"/>
        <v/>
      </c>
      <c r="AL36" s="11" t="str">
        <f t="shared" si="18"/>
        <v/>
      </c>
      <c r="AN36" s="2"/>
    </row>
    <row r="37" spans="2:40" ht="16.5" thickTop="1" thickBot="1" x14ac:dyDescent="0.3">
      <c r="C37" s="1">
        <v>1</v>
      </c>
      <c r="G37" s="1">
        <v>1</v>
      </c>
      <c r="H37" s="28" t="str">
        <f t="shared" si="19"/>
        <v/>
      </c>
      <c r="I37" s="29">
        <f t="shared" si="0"/>
        <v>0.56099098214285714</v>
      </c>
      <c r="J37" s="75">
        <f t="shared" si="1"/>
        <v>28000</v>
      </c>
      <c r="K37" s="71">
        <f t="shared" si="2"/>
        <v>24000</v>
      </c>
      <c r="L37" s="72">
        <f t="shared" si="3"/>
        <v>13463.783571428572</v>
      </c>
      <c r="M37" s="80">
        <f t="shared" si="20"/>
        <v>-2000.783571428572</v>
      </c>
      <c r="N37" s="81">
        <f t="shared" si="4"/>
        <v>0</v>
      </c>
      <c r="O37" s="82">
        <f t="shared" si="21"/>
        <v>0</v>
      </c>
      <c r="P37" s="71">
        <f t="shared" si="5"/>
        <v>4000</v>
      </c>
      <c r="Q37" s="103">
        <f t="shared" si="22"/>
        <v>0</v>
      </c>
      <c r="R37" s="72">
        <f t="shared" si="6"/>
        <v>2243.9639285714284</v>
      </c>
      <c r="S37" s="29">
        <f t="shared" si="23"/>
        <v>0.56099098214285714</v>
      </c>
      <c r="T37" s="62">
        <f t="shared" si="7"/>
        <v>0</v>
      </c>
      <c r="U37" s="90">
        <f t="shared" si="8"/>
        <v>0</v>
      </c>
      <c r="V37" s="62">
        <f t="shared" si="9"/>
        <v>0</v>
      </c>
      <c r="W37" s="94">
        <f t="shared" si="10"/>
        <v>2000.783571428572</v>
      </c>
      <c r="X37" s="154">
        <f t="shared" si="11"/>
        <v>-200.60249999999985</v>
      </c>
      <c r="Y37" s="154">
        <f t="shared" si="24"/>
        <v>-200.60249999999985</v>
      </c>
      <c r="Z37" s="1" t="str">
        <f>IF(OR(B37="",NOT($H37="")),"",ROUND(_xlfn.FORECAST.LINEAR($I37,INDEX(Z$3:Z$13,MATCH($I37,$Y$3:$Y$13,1)):INDEX(Z$3:Z$13,MATCH($I37,$Y$3:$Y$13,1)+1),INDEX($Y$3:$Y$13,MATCH($I37,$Y$3:$Y$13,1)):INDEX($Y$3:$Y$13,MATCH($I37,$Y$3:$Y$13,1)+1)),0))</f>
        <v/>
      </c>
      <c r="AA37" s="39">
        <f>IF(OR(C37="",NOT($H37="")),"",ROUND(_xlfn.FORECAST.LINEAR($I37,INDEX(AA$3:AA$13,MATCH($I37,$Y$3:$Y$13,1)):INDEX(AA$3:AA$13,MATCH($I37,$Y$3:$Y$13,1)+1),INDEX($Y$3:$Y$13,MATCH($I37,$Y$3:$Y$13,1)):INDEX($Y$3:$Y$13,MATCH($I37,$Y$3:$Y$13,1)+1)),0))</f>
        <v>166</v>
      </c>
      <c r="AB37" s="38" t="str">
        <f>IF(OR(D37="",NOT($H37="")),"",ROUND(_xlfn.FORECAST.LINEAR($S37,INDEX(AB$3:AB$13,MATCH($S37,$Y$3:$Y$13,1)):INDEX(AB$3:AB$13,MATCH($S37,$Y$3:$Y$13,1)+1),INDEX($Y$3:$Y$13,MATCH($S37,$Y$3:$Y$13,1)):INDEX($Y$3:$Y$13,MATCH($S37,$Y$3:$Y$13,1)+1)),0))</f>
        <v/>
      </c>
      <c r="AC37" s="1" t="str">
        <f>IF(OR(E37="",NOT($H37="")),"",ROUND(_xlfn.FORECAST.LINEAR($S37,INDEX(AC$3:AC$13,MATCH($S37,$Y$3:$Y$13,1)):INDEX(AC$3:AC$13,MATCH($S37,$Y$3:$Y$13,1)+1),INDEX($Y$3:$Y$13,MATCH($S37,$Y$3:$Y$13,1)):INDEX($Y$3:$Y$13,MATCH($S37,$Y$3:$Y$13,1)+1)),0))</f>
        <v/>
      </c>
      <c r="AD37" s="1" t="str">
        <f>IF(OR(F37="",NOT($H37="")),"",ROUND(_xlfn.FORECAST.LINEAR($S37,INDEX(AD$3:AD$13,MATCH($S37,$Y$3:$Y$13,1)):INDEX(AD$3:AD$13,MATCH($S37,$Y$3:$Y$13,1)+1),INDEX($Y$3:$Y$13,MATCH($S37,$Y$3:$Y$13,1)):INDEX($Y$3:$Y$13,MATCH($S37,$Y$3:$Y$13,1)+1)),0))</f>
        <v/>
      </c>
      <c r="AE37" s="47">
        <f>IF(OR(G37="",NOT($H37="")),"",ROUND(_xlfn.FORECAST.LINEAR($S37,INDEX(AE$3:AE$13,MATCH($S37,$Y$3:$Y$13,1)):INDEX(AE$3:AE$13,MATCH($S37,$Y$3:$Y$13,1)+1),INDEX($Y$3:$Y$13,MATCH($S37,$Y$3:$Y$13,1)):INDEX($Y$3:$Y$13,MATCH($S37,$Y$3:$Y$13,1)+1)),0))</f>
        <v>216</v>
      </c>
      <c r="AF37" s="26">
        <f t="shared" si="12"/>
        <v>382</v>
      </c>
      <c r="AG37" s="9" t="str">
        <f t="shared" si="13"/>
        <v/>
      </c>
      <c r="AH37" s="11" t="str">
        <f t="shared" si="14"/>
        <v/>
      </c>
      <c r="AI37" s="9" t="str">
        <f t="shared" si="15"/>
        <v/>
      </c>
      <c r="AJ37" s="10" t="str">
        <f t="shared" si="16"/>
        <v/>
      </c>
      <c r="AK37" s="10" t="str">
        <f t="shared" si="17"/>
        <v/>
      </c>
      <c r="AL37" s="11" t="str">
        <f t="shared" si="18"/>
        <v/>
      </c>
    </row>
    <row r="38" spans="2:40" ht="16.5" thickTop="1" thickBot="1" x14ac:dyDescent="0.3">
      <c r="B38" s="1">
        <v>1</v>
      </c>
      <c r="C38" s="1">
        <v>1</v>
      </c>
      <c r="H38" s="28" t="str">
        <f t="shared" si="19"/>
        <v/>
      </c>
      <c r="I38" s="29">
        <f t="shared" si="0"/>
        <v>0.32724473958333333</v>
      </c>
      <c r="J38" s="75">
        <f t="shared" si="1"/>
        <v>48000</v>
      </c>
      <c r="K38" s="71">
        <f t="shared" si="2"/>
        <v>48000</v>
      </c>
      <c r="L38" s="72">
        <f t="shared" si="3"/>
        <v>15707.747499999999</v>
      </c>
      <c r="M38" s="80">
        <f t="shared" si="20"/>
        <v>-4244.7474999999995</v>
      </c>
      <c r="N38" s="81">
        <f t="shared" si="4"/>
        <v>0</v>
      </c>
      <c r="O38" s="82">
        <f t="shared" si="21"/>
        <v>0</v>
      </c>
      <c r="P38" s="71">
        <f t="shared" si="5"/>
        <v>0</v>
      </c>
      <c r="Q38" s="103">
        <f t="shared" si="22"/>
        <v>0</v>
      </c>
      <c r="R38" s="72">
        <f t="shared" si="6"/>
        <v>0</v>
      </c>
      <c r="S38" s="29">
        <f t="shared" si="23"/>
        <v>0</v>
      </c>
      <c r="T38" s="62">
        <f t="shared" si="7"/>
        <v>0</v>
      </c>
      <c r="U38" s="90">
        <f t="shared" si="8"/>
        <v>3250</v>
      </c>
      <c r="V38" s="62">
        <f t="shared" si="9"/>
        <v>0</v>
      </c>
      <c r="W38" s="94">
        <f t="shared" si="10"/>
        <v>994.74749999999949</v>
      </c>
      <c r="X38" s="154">
        <f t="shared" si="11"/>
        <v>-200.60249999999985</v>
      </c>
      <c r="Y38" s="154">
        <f t="shared" si="24"/>
        <v>-200.60249999999985</v>
      </c>
      <c r="Z38" s="1">
        <f>IF(OR(B38="",NOT($H38="")),"",ROUND(_xlfn.FORECAST.LINEAR($I38,INDEX(Z$3:Z$13,MATCH($I38,$Y$3:$Y$13,1)):INDEX(Z$3:Z$13,MATCH($I38,$Y$3:$Y$13,1)+1),INDEX($Y$3:$Y$13,MATCH($I38,$Y$3:$Y$13,1)):INDEX($Y$3:$Y$13,MATCH($I38,$Y$3:$Y$13,1)+1)),0))</f>
        <v>172</v>
      </c>
      <c r="AA38" s="39">
        <f>IF(OR(C38="",NOT($H38="")),"",ROUND(_xlfn.FORECAST.LINEAR($I38,INDEX(AA$3:AA$13,MATCH($I38,$Y$3:$Y$13,1)):INDEX(AA$3:AA$13,MATCH($I38,$Y$3:$Y$13,1)+1),INDEX($Y$3:$Y$13,MATCH($I38,$Y$3:$Y$13,1)):INDEX($Y$3:$Y$13,MATCH($I38,$Y$3:$Y$13,1)+1)),0))</f>
        <v>172</v>
      </c>
      <c r="AB38" s="38" t="str">
        <f>IF(OR(D38="",NOT($H38="")),"",ROUND(_xlfn.FORECAST.LINEAR($S38,INDEX(AB$3:AB$13,MATCH($S38,$Y$3:$Y$13,1)):INDEX(AB$3:AB$13,MATCH($S38,$Y$3:$Y$13,1)+1),INDEX($Y$3:$Y$13,MATCH($S38,$Y$3:$Y$13,1)):INDEX($Y$3:$Y$13,MATCH($S38,$Y$3:$Y$13,1)+1)),0))</f>
        <v/>
      </c>
      <c r="AC38" s="1" t="str">
        <f>IF(OR(E38="",NOT($H38="")),"",ROUND(_xlfn.FORECAST.LINEAR($S38,INDEX(AC$3:AC$13,MATCH($S38,$Y$3:$Y$13,1)):INDEX(AC$3:AC$13,MATCH($S38,$Y$3:$Y$13,1)+1),INDEX($Y$3:$Y$13,MATCH($S38,$Y$3:$Y$13,1)):INDEX($Y$3:$Y$13,MATCH($S38,$Y$3:$Y$13,1)+1)),0))</f>
        <v/>
      </c>
      <c r="AD38" s="1" t="str">
        <f>IF(OR(F38="",NOT($H38="")),"",ROUND(_xlfn.FORECAST.LINEAR($S38,INDEX(AD$3:AD$13,MATCH($S38,$Y$3:$Y$13,1)):INDEX(AD$3:AD$13,MATCH($S38,$Y$3:$Y$13,1)+1),INDEX($Y$3:$Y$13,MATCH($S38,$Y$3:$Y$13,1)):INDEX($Y$3:$Y$13,MATCH($S38,$Y$3:$Y$13,1)+1)),0))</f>
        <v/>
      </c>
      <c r="AE38" s="47" t="str">
        <f>IF(OR(G38="",NOT($H38="")),"",ROUND(_xlfn.FORECAST.LINEAR($S38,INDEX(AE$3:AE$13,MATCH($S38,$Y$3:$Y$13,1)):INDEX(AE$3:AE$13,MATCH($S38,$Y$3:$Y$13,1)+1),INDEX($Y$3:$Y$13,MATCH($S38,$Y$3:$Y$13,1)):INDEX($Y$3:$Y$13,MATCH($S38,$Y$3:$Y$13,1)+1)),0))</f>
        <v/>
      </c>
      <c r="AF38" s="26">
        <f t="shared" si="12"/>
        <v>344</v>
      </c>
      <c r="AG38" s="9" t="str">
        <f t="shared" si="13"/>
        <v>G1</v>
      </c>
      <c r="AH38" s="11" t="str">
        <f t="shared" si="14"/>
        <v>G6</v>
      </c>
      <c r="AI38" s="9" t="str">
        <f t="shared" si="15"/>
        <v/>
      </c>
      <c r="AJ38" s="10" t="str">
        <f t="shared" si="16"/>
        <v/>
      </c>
      <c r="AK38" s="10" t="str">
        <f t="shared" si="17"/>
        <v/>
      </c>
      <c r="AL38" s="11" t="str">
        <f t="shared" si="18"/>
        <v/>
      </c>
      <c r="AM38" s="10">
        <f>(Z38*L38/2)/1000+(AA38*L38/2)/1000</f>
        <v>2701.7325699999997</v>
      </c>
      <c r="AN38" s="2">
        <f>AM38*3.206</f>
        <v>8661.7546194199986</v>
      </c>
    </row>
    <row r="39" spans="2:40" ht="16.5" thickTop="1" thickBot="1" x14ac:dyDescent="0.3">
      <c r="D39" s="1">
        <v>1</v>
      </c>
      <c r="E39" s="1">
        <v>1</v>
      </c>
      <c r="F39" s="1">
        <v>1</v>
      </c>
      <c r="H39" s="28" t="str">
        <f t="shared" si="19"/>
        <v>Insufficient pwr</v>
      </c>
      <c r="I39" s="29">
        <f t="shared" si="0"/>
        <v>1.3089789583333333</v>
      </c>
      <c r="J39" s="75">
        <f t="shared" si="1"/>
        <v>12000</v>
      </c>
      <c r="K39" s="71">
        <f t="shared" si="2"/>
        <v>0</v>
      </c>
      <c r="L39" s="72">
        <f t="shared" si="3"/>
        <v>0</v>
      </c>
      <c r="M39" s="80">
        <f t="shared" si="20"/>
        <v>11463</v>
      </c>
      <c r="N39" s="81">
        <f t="shared" si="4"/>
        <v>3250</v>
      </c>
      <c r="O39" s="82">
        <f t="shared" si="21"/>
        <v>5536.15</v>
      </c>
      <c r="P39" s="71">
        <f t="shared" si="5"/>
        <v>12000</v>
      </c>
      <c r="Q39" s="103">
        <f t="shared" si="22"/>
        <v>573.15</v>
      </c>
      <c r="R39" s="72">
        <f t="shared" si="6"/>
        <v>16280.897499999999</v>
      </c>
      <c r="S39" s="29">
        <f t="shared" si="23"/>
        <v>1.3567414583333333</v>
      </c>
      <c r="T39" s="62">
        <f t="shared" si="7"/>
        <v>3250</v>
      </c>
      <c r="U39" s="90">
        <f t="shared" si="8"/>
        <v>0</v>
      </c>
      <c r="V39" s="62">
        <f t="shared" si="9"/>
        <v>3250</v>
      </c>
      <c r="W39" s="94">
        <f t="shared" si="10"/>
        <v>0</v>
      </c>
      <c r="X39" s="154">
        <f t="shared" si="11"/>
        <v>-200.60249999999985</v>
      </c>
      <c r="Y39" s="154">
        <f t="shared" si="24"/>
        <v>-200.60249999999985</v>
      </c>
      <c r="Z39" s="1" t="str">
        <f>IF(OR(B39="",NOT($H39="")),"",ROUND(_xlfn.FORECAST.LINEAR($I39,INDEX(Z$3:Z$13,MATCH($I39,$Y$3:$Y$13,1)):INDEX(Z$3:Z$13,MATCH($I39,$Y$3:$Y$13,1)+1),INDEX($Y$3:$Y$13,MATCH($I39,$Y$3:$Y$13,1)):INDEX($Y$3:$Y$13,MATCH($I39,$Y$3:$Y$13,1)+1)),0))</f>
        <v/>
      </c>
      <c r="AA39" s="39" t="str">
        <f>IF(OR(C39="",NOT($H39="")),"",ROUND(_xlfn.FORECAST.LINEAR($I39,INDEX(AA$3:AA$13,MATCH($I39,$Y$3:$Y$13,1)):INDEX(AA$3:AA$13,MATCH($I39,$Y$3:$Y$13,1)+1),INDEX($Y$3:$Y$13,MATCH($I39,$Y$3:$Y$13,1)):INDEX($Y$3:$Y$13,MATCH($I39,$Y$3:$Y$13,1)+1)),0))</f>
        <v/>
      </c>
      <c r="AB39" s="38" t="str">
        <f>IF(OR(D39="",NOT($H39="")),"",ROUND(_xlfn.FORECAST.LINEAR($S39,INDEX(AB$3:AB$13,MATCH($S39,$Y$3:$Y$13,1)):INDEX(AB$3:AB$13,MATCH($S39,$Y$3:$Y$13,1)+1),INDEX($Y$3:$Y$13,MATCH($S39,$Y$3:$Y$13,1)):INDEX($Y$3:$Y$13,MATCH($S39,$Y$3:$Y$13,1)+1)),0))</f>
        <v/>
      </c>
      <c r="AC39" s="1" t="str">
        <f>IF(OR(E39="",NOT($H39="")),"",ROUND(_xlfn.FORECAST.LINEAR($S39,INDEX(AC$3:AC$13,MATCH($S39,$Y$3:$Y$13,1)):INDEX(AC$3:AC$13,MATCH($S39,$Y$3:$Y$13,1)+1),INDEX($Y$3:$Y$13,MATCH($S39,$Y$3:$Y$13,1)):INDEX($Y$3:$Y$13,MATCH($S39,$Y$3:$Y$13,1)+1)),0))</f>
        <v/>
      </c>
      <c r="AD39" s="1" t="str">
        <f>IF(OR(F39="",NOT($H39="")),"",ROUND(_xlfn.FORECAST.LINEAR($S39,INDEX(AD$3:AD$13,MATCH($S39,$Y$3:$Y$13,1)):INDEX(AD$3:AD$13,MATCH($S39,$Y$3:$Y$13,1)+1),INDEX($Y$3:$Y$13,MATCH($S39,$Y$3:$Y$13,1)):INDEX($Y$3:$Y$13,MATCH($S39,$Y$3:$Y$13,1)+1)),0))</f>
        <v/>
      </c>
      <c r="AE39" s="47" t="str">
        <f>IF(OR(G39="",NOT($H39="")),"",ROUND(_xlfn.FORECAST.LINEAR($S39,INDEX(AE$3:AE$13,MATCH($S39,$Y$3:$Y$13,1)):INDEX(AE$3:AE$13,MATCH($S39,$Y$3:$Y$13,1)+1),INDEX($Y$3:$Y$13,MATCH($S39,$Y$3:$Y$13,1)):INDEX($Y$3:$Y$13,MATCH($S39,$Y$3:$Y$13,1)+1)),0))</f>
        <v/>
      </c>
      <c r="AF39" s="26" t="str">
        <f t="shared" si="12"/>
        <v/>
      </c>
      <c r="AG39" s="9" t="str">
        <f t="shared" si="13"/>
        <v/>
      </c>
      <c r="AH39" s="11" t="str">
        <f t="shared" si="14"/>
        <v/>
      </c>
      <c r="AI39" s="9" t="str">
        <f t="shared" si="15"/>
        <v/>
      </c>
      <c r="AJ39" s="10" t="str">
        <f t="shared" si="16"/>
        <v/>
      </c>
      <c r="AK39" s="10" t="str">
        <f t="shared" si="17"/>
        <v/>
      </c>
      <c r="AL39" s="11" t="str">
        <f t="shared" si="18"/>
        <v/>
      </c>
    </row>
    <row r="40" spans="2:40" ht="16.5" thickTop="1" thickBot="1" x14ac:dyDescent="0.3">
      <c r="D40" s="1">
        <v>1</v>
      </c>
      <c r="E40" s="1">
        <v>1</v>
      </c>
      <c r="G40" s="1">
        <v>1</v>
      </c>
      <c r="H40" s="28" t="str">
        <f t="shared" si="19"/>
        <v>Insufficient pwr</v>
      </c>
      <c r="I40" s="29">
        <f t="shared" si="0"/>
        <v>1.3089789583333333</v>
      </c>
      <c r="J40" s="75">
        <f t="shared" si="1"/>
        <v>12000</v>
      </c>
      <c r="K40" s="71">
        <f t="shared" si="2"/>
        <v>0</v>
      </c>
      <c r="L40" s="72">
        <f t="shared" si="3"/>
        <v>0</v>
      </c>
      <c r="M40" s="80">
        <f t="shared" si="20"/>
        <v>11463</v>
      </c>
      <c r="N40" s="81">
        <f t="shared" si="4"/>
        <v>3250</v>
      </c>
      <c r="O40" s="82">
        <f t="shared" si="21"/>
        <v>5536.15</v>
      </c>
      <c r="P40" s="71">
        <f t="shared" si="5"/>
        <v>12000</v>
      </c>
      <c r="Q40" s="103">
        <f t="shared" si="22"/>
        <v>573.15</v>
      </c>
      <c r="R40" s="72">
        <f t="shared" si="6"/>
        <v>16280.897499999999</v>
      </c>
      <c r="S40" s="29">
        <f t="shared" si="23"/>
        <v>1.3567414583333333</v>
      </c>
      <c r="T40" s="62">
        <f t="shared" si="7"/>
        <v>3250</v>
      </c>
      <c r="U40" s="90">
        <f t="shared" si="8"/>
        <v>0</v>
      </c>
      <c r="V40" s="62">
        <f t="shared" si="9"/>
        <v>3250</v>
      </c>
      <c r="W40" s="94">
        <f t="shared" si="10"/>
        <v>0</v>
      </c>
      <c r="X40" s="154">
        <f t="shared" si="11"/>
        <v>-200.60249999999985</v>
      </c>
      <c r="Y40" s="154">
        <f t="shared" si="24"/>
        <v>-200.60249999999985</v>
      </c>
      <c r="Z40" s="1" t="str">
        <f>IF(OR(B40="",NOT($H40="")),"",ROUND(_xlfn.FORECAST.LINEAR($I40,INDEX(Z$3:Z$13,MATCH($I40,$Y$3:$Y$13,1)):INDEX(Z$3:Z$13,MATCH($I40,$Y$3:$Y$13,1)+1),INDEX($Y$3:$Y$13,MATCH($I40,$Y$3:$Y$13,1)):INDEX($Y$3:$Y$13,MATCH($I40,$Y$3:$Y$13,1)+1)),0))</f>
        <v/>
      </c>
      <c r="AA40" s="39" t="str">
        <f>IF(OR(C40="",NOT($H40="")),"",ROUND(_xlfn.FORECAST.LINEAR($I40,INDEX(AA$3:AA$13,MATCH($I40,$Y$3:$Y$13,1)):INDEX(AA$3:AA$13,MATCH($I40,$Y$3:$Y$13,1)+1),INDEX($Y$3:$Y$13,MATCH($I40,$Y$3:$Y$13,1)):INDEX($Y$3:$Y$13,MATCH($I40,$Y$3:$Y$13,1)+1)),0))</f>
        <v/>
      </c>
      <c r="AB40" s="38" t="str">
        <f>IF(OR(D40="",NOT($H40="")),"",ROUND(_xlfn.FORECAST.LINEAR($S40,INDEX(AB$3:AB$13,MATCH($S40,$Y$3:$Y$13,1)):INDEX(AB$3:AB$13,MATCH($S40,$Y$3:$Y$13,1)+1),INDEX($Y$3:$Y$13,MATCH($S40,$Y$3:$Y$13,1)):INDEX($Y$3:$Y$13,MATCH($S40,$Y$3:$Y$13,1)+1)),0))</f>
        <v/>
      </c>
      <c r="AC40" s="1" t="str">
        <f>IF(OR(E40="",NOT($H40="")),"",ROUND(_xlfn.FORECAST.LINEAR($S40,INDEX(AC$3:AC$13,MATCH($S40,$Y$3:$Y$13,1)):INDEX(AC$3:AC$13,MATCH($S40,$Y$3:$Y$13,1)+1),INDEX($Y$3:$Y$13,MATCH($S40,$Y$3:$Y$13,1)):INDEX($Y$3:$Y$13,MATCH($S40,$Y$3:$Y$13,1)+1)),0))</f>
        <v/>
      </c>
      <c r="AD40" s="1" t="str">
        <f>IF(OR(F40="",NOT($H40="")),"",ROUND(_xlfn.FORECAST.LINEAR($S40,INDEX(AD$3:AD$13,MATCH($S40,$Y$3:$Y$13,1)):INDEX(AD$3:AD$13,MATCH($S40,$Y$3:$Y$13,1)+1),INDEX($Y$3:$Y$13,MATCH($S40,$Y$3:$Y$13,1)):INDEX($Y$3:$Y$13,MATCH($S40,$Y$3:$Y$13,1)+1)),0))</f>
        <v/>
      </c>
      <c r="AE40" s="47" t="str">
        <f>IF(OR(G40="",NOT($H40="")),"",ROUND(_xlfn.FORECAST.LINEAR($S40,INDEX(AE$3:AE$13,MATCH($S40,$Y$3:$Y$13,1)):INDEX(AE$3:AE$13,MATCH($S40,$Y$3:$Y$13,1)+1),INDEX($Y$3:$Y$13,MATCH($S40,$Y$3:$Y$13,1)):INDEX($Y$3:$Y$13,MATCH($S40,$Y$3:$Y$13,1)+1)),0))</f>
        <v/>
      </c>
      <c r="AF40" s="26" t="str">
        <f t="shared" si="12"/>
        <v/>
      </c>
      <c r="AG40" s="9" t="str">
        <f t="shared" si="13"/>
        <v/>
      </c>
      <c r="AH40" s="11" t="str">
        <f t="shared" si="14"/>
        <v/>
      </c>
      <c r="AI40" s="9" t="str">
        <f t="shared" si="15"/>
        <v/>
      </c>
      <c r="AJ40" s="10" t="str">
        <f t="shared" si="16"/>
        <v/>
      </c>
      <c r="AK40" s="10" t="str">
        <f t="shared" si="17"/>
        <v/>
      </c>
      <c r="AL40" s="11" t="str">
        <f t="shared" si="18"/>
        <v/>
      </c>
    </row>
    <row r="41" spans="2:40" ht="16.5" thickTop="1" thickBot="1" x14ac:dyDescent="0.3">
      <c r="D41" s="1">
        <v>1</v>
      </c>
      <c r="F41" s="1">
        <v>1</v>
      </c>
      <c r="G41" s="1">
        <v>1</v>
      </c>
      <c r="H41" s="28" t="str">
        <f t="shared" si="19"/>
        <v>Insufficient pwr</v>
      </c>
      <c r="I41" s="29">
        <f t="shared" si="0"/>
        <v>1.3089789583333333</v>
      </c>
      <c r="J41" s="75">
        <f t="shared" si="1"/>
        <v>12000</v>
      </c>
      <c r="K41" s="71">
        <f t="shared" si="2"/>
        <v>0</v>
      </c>
      <c r="L41" s="72">
        <f t="shared" si="3"/>
        <v>0</v>
      </c>
      <c r="M41" s="80">
        <f t="shared" si="20"/>
        <v>11463</v>
      </c>
      <c r="N41" s="81">
        <f t="shared" si="4"/>
        <v>3250</v>
      </c>
      <c r="O41" s="82">
        <f t="shared" si="21"/>
        <v>5536.15</v>
      </c>
      <c r="P41" s="71">
        <f t="shared" si="5"/>
        <v>12000</v>
      </c>
      <c r="Q41" s="103">
        <f t="shared" si="22"/>
        <v>573.15</v>
      </c>
      <c r="R41" s="72">
        <f t="shared" si="6"/>
        <v>16280.897499999999</v>
      </c>
      <c r="S41" s="29">
        <f t="shared" si="23"/>
        <v>1.3567414583333333</v>
      </c>
      <c r="T41" s="62">
        <f t="shared" si="7"/>
        <v>3250</v>
      </c>
      <c r="U41" s="90">
        <f t="shared" si="8"/>
        <v>0</v>
      </c>
      <c r="V41" s="62">
        <f t="shared" si="9"/>
        <v>3250</v>
      </c>
      <c r="W41" s="94">
        <f t="shared" si="10"/>
        <v>0</v>
      </c>
      <c r="X41" s="154">
        <f t="shared" si="11"/>
        <v>-200.60249999999985</v>
      </c>
      <c r="Y41" s="154">
        <f t="shared" si="24"/>
        <v>-200.60249999999985</v>
      </c>
      <c r="Z41" s="1" t="str">
        <f>IF(OR(B41="",NOT($H41="")),"",ROUND(_xlfn.FORECAST.LINEAR($I41,INDEX(Z$3:Z$13,MATCH($I41,$Y$3:$Y$13,1)):INDEX(Z$3:Z$13,MATCH($I41,$Y$3:$Y$13,1)+1),INDEX($Y$3:$Y$13,MATCH($I41,$Y$3:$Y$13,1)):INDEX($Y$3:$Y$13,MATCH($I41,$Y$3:$Y$13,1)+1)),0))</f>
        <v/>
      </c>
      <c r="AA41" s="39" t="str">
        <f>IF(OR(C41="",NOT($H41="")),"",ROUND(_xlfn.FORECAST.LINEAR($I41,INDEX(AA$3:AA$13,MATCH($I41,$Y$3:$Y$13,1)):INDEX(AA$3:AA$13,MATCH($I41,$Y$3:$Y$13,1)+1),INDEX($Y$3:$Y$13,MATCH($I41,$Y$3:$Y$13,1)):INDEX($Y$3:$Y$13,MATCH($I41,$Y$3:$Y$13,1)+1)),0))</f>
        <v/>
      </c>
      <c r="AB41" s="38" t="str">
        <f>IF(OR(D41="",NOT($H41="")),"",ROUND(_xlfn.FORECAST.LINEAR($S41,INDEX(AB$3:AB$13,MATCH($S41,$Y$3:$Y$13,1)):INDEX(AB$3:AB$13,MATCH($S41,$Y$3:$Y$13,1)+1),INDEX($Y$3:$Y$13,MATCH($S41,$Y$3:$Y$13,1)):INDEX($Y$3:$Y$13,MATCH($S41,$Y$3:$Y$13,1)+1)),0))</f>
        <v/>
      </c>
      <c r="AC41" s="1" t="str">
        <f>IF(OR(E41="",NOT($H41="")),"",ROUND(_xlfn.FORECAST.LINEAR($S41,INDEX(AC$3:AC$13,MATCH($S41,$Y$3:$Y$13,1)):INDEX(AC$3:AC$13,MATCH($S41,$Y$3:$Y$13,1)+1),INDEX($Y$3:$Y$13,MATCH($S41,$Y$3:$Y$13,1)):INDEX($Y$3:$Y$13,MATCH($S41,$Y$3:$Y$13,1)+1)),0))</f>
        <v/>
      </c>
      <c r="AD41" s="1" t="str">
        <f>IF(OR(F41="",NOT($H41="")),"",ROUND(_xlfn.FORECAST.LINEAR($S41,INDEX(AD$3:AD$13,MATCH($S41,$Y$3:$Y$13,1)):INDEX(AD$3:AD$13,MATCH($S41,$Y$3:$Y$13,1)+1),INDEX($Y$3:$Y$13,MATCH($S41,$Y$3:$Y$13,1)):INDEX($Y$3:$Y$13,MATCH($S41,$Y$3:$Y$13,1)+1)),0))</f>
        <v/>
      </c>
      <c r="AE41" s="47" t="str">
        <f>IF(OR(G41="",NOT($H41="")),"",ROUND(_xlfn.FORECAST.LINEAR($S41,INDEX(AE$3:AE$13,MATCH($S41,$Y$3:$Y$13,1)):INDEX(AE$3:AE$13,MATCH($S41,$Y$3:$Y$13,1)+1),INDEX($Y$3:$Y$13,MATCH($S41,$Y$3:$Y$13,1)):INDEX($Y$3:$Y$13,MATCH($S41,$Y$3:$Y$13,1)+1)),0))</f>
        <v/>
      </c>
      <c r="AF41" s="26" t="str">
        <f t="shared" si="12"/>
        <v/>
      </c>
      <c r="AG41" s="9" t="str">
        <f t="shared" si="13"/>
        <v/>
      </c>
      <c r="AH41" s="11" t="str">
        <f t="shared" si="14"/>
        <v/>
      </c>
      <c r="AI41" s="9" t="str">
        <f t="shared" si="15"/>
        <v/>
      </c>
      <c r="AJ41" s="10" t="str">
        <f t="shared" si="16"/>
        <v/>
      </c>
      <c r="AK41" s="10" t="str">
        <f t="shared" si="17"/>
        <v/>
      </c>
      <c r="AL41" s="11" t="str">
        <f t="shared" si="18"/>
        <v/>
      </c>
    </row>
    <row r="42" spans="2:40" ht="16.5" thickTop="1" thickBot="1" x14ac:dyDescent="0.3">
      <c r="E42" s="1">
        <v>1</v>
      </c>
      <c r="F42" s="1">
        <v>1</v>
      </c>
      <c r="G42" s="1">
        <v>1</v>
      </c>
      <c r="H42" s="28" t="str">
        <f t="shared" si="19"/>
        <v>Insufficient pwr</v>
      </c>
      <c r="I42" s="29">
        <f t="shared" si="0"/>
        <v>1.3089789583333333</v>
      </c>
      <c r="J42" s="75">
        <f t="shared" si="1"/>
        <v>12000</v>
      </c>
      <c r="K42" s="71">
        <f t="shared" si="2"/>
        <v>0</v>
      </c>
      <c r="L42" s="72">
        <f t="shared" si="3"/>
        <v>0</v>
      </c>
      <c r="M42" s="80">
        <f t="shared" si="20"/>
        <v>11463</v>
      </c>
      <c r="N42" s="81">
        <f t="shared" si="4"/>
        <v>3250</v>
      </c>
      <c r="O42" s="82">
        <f t="shared" si="21"/>
        <v>5536.15</v>
      </c>
      <c r="P42" s="71">
        <f t="shared" si="5"/>
        <v>12000</v>
      </c>
      <c r="Q42" s="103">
        <f t="shared" si="22"/>
        <v>573.15</v>
      </c>
      <c r="R42" s="72">
        <f t="shared" si="6"/>
        <v>16280.897499999999</v>
      </c>
      <c r="S42" s="29">
        <f t="shared" si="23"/>
        <v>1.3567414583333333</v>
      </c>
      <c r="T42" s="62">
        <f t="shared" si="7"/>
        <v>3250</v>
      </c>
      <c r="U42" s="90">
        <f t="shared" si="8"/>
        <v>0</v>
      </c>
      <c r="V42" s="62">
        <f t="shared" si="9"/>
        <v>3250</v>
      </c>
      <c r="W42" s="94">
        <f t="shared" si="10"/>
        <v>0</v>
      </c>
      <c r="X42" s="154">
        <f t="shared" si="11"/>
        <v>-200.60249999999985</v>
      </c>
      <c r="Y42" s="154">
        <f t="shared" si="24"/>
        <v>-200.60249999999985</v>
      </c>
      <c r="Z42" s="1" t="str">
        <f>IF(OR(B42="",NOT($H42="")),"",ROUND(_xlfn.FORECAST.LINEAR($I42,INDEX(Z$3:Z$13,MATCH($I42,$Y$3:$Y$13,1)):INDEX(Z$3:Z$13,MATCH($I42,$Y$3:$Y$13,1)+1),INDEX($Y$3:$Y$13,MATCH($I42,$Y$3:$Y$13,1)):INDEX($Y$3:$Y$13,MATCH($I42,$Y$3:$Y$13,1)+1)),0))</f>
        <v/>
      </c>
      <c r="AA42" s="39" t="str">
        <f>IF(OR(C42="",NOT($H42="")),"",ROUND(_xlfn.FORECAST.LINEAR($I42,INDEX(AA$3:AA$13,MATCH($I42,$Y$3:$Y$13,1)):INDEX(AA$3:AA$13,MATCH($I42,$Y$3:$Y$13,1)+1),INDEX($Y$3:$Y$13,MATCH($I42,$Y$3:$Y$13,1)):INDEX($Y$3:$Y$13,MATCH($I42,$Y$3:$Y$13,1)+1)),0))</f>
        <v/>
      </c>
      <c r="AB42" s="38" t="str">
        <f>IF(OR(D42="",NOT($H42="")),"",ROUND(_xlfn.FORECAST.LINEAR($S42,INDEX(AB$3:AB$13,MATCH($S42,$Y$3:$Y$13,1)):INDEX(AB$3:AB$13,MATCH($S42,$Y$3:$Y$13,1)+1),INDEX($Y$3:$Y$13,MATCH($S42,$Y$3:$Y$13,1)):INDEX($Y$3:$Y$13,MATCH($S42,$Y$3:$Y$13,1)+1)),0))</f>
        <v/>
      </c>
      <c r="AC42" s="1" t="str">
        <f>IF(OR(E42="",NOT($H42="")),"",ROUND(_xlfn.FORECAST.LINEAR($S42,INDEX(AC$3:AC$13,MATCH($S42,$Y$3:$Y$13,1)):INDEX(AC$3:AC$13,MATCH($S42,$Y$3:$Y$13,1)+1),INDEX($Y$3:$Y$13,MATCH($S42,$Y$3:$Y$13,1)):INDEX($Y$3:$Y$13,MATCH($S42,$Y$3:$Y$13,1)+1)),0))</f>
        <v/>
      </c>
      <c r="AD42" s="1" t="str">
        <f>IF(OR(F42="",NOT($H42="")),"",ROUND(_xlfn.FORECAST.LINEAR($S42,INDEX(AD$3:AD$13,MATCH($S42,$Y$3:$Y$13,1)):INDEX(AD$3:AD$13,MATCH($S42,$Y$3:$Y$13,1)+1),INDEX($Y$3:$Y$13,MATCH($S42,$Y$3:$Y$13,1)):INDEX($Y$3:$Y$13,MATCH($S42,$Y$3:$Y$13,1)+1)),0))</f>
        <v/>
      </c>
      <c r="AE42" s="47" t="str">
        <f>IF(OR(G42="",NOT($H42="")),"",ROUND(_xlfn.FORECAST.LINEAR($S42,INDEX(AE$3:AE$13,MATCH($S42,$Y$3:$Y$13,1)):INDEX(AE$3:AE$13,MATCH($S42,$Y$3:$Y$13,1)+1),INDEX($Y$3:$Y$13,MATCH($S42,$Y$3:$Y$13,1)):INDEX($Y$3:$Y$13,MATCH($S42,$Y$3:$Y$13,1)+1)),0))</f>
        <v/>
      </c>
      <c r="AF42" s="26" t="str">
        <f t="shared" si="12"/>
        <v/>
      </c>
      <c r="AG42" s="9" t="str">
        <f t="shared" si="13"/>
        <v/>
      </c>
      <c r="AH42" s="11" t="str">
        <f t="shared" si="14"/>
        <v/>
      </c>
      <c r="AI42" s="9" t="str">
        <f t="shared" si="15"/>
        <v/>
      </c>
      <c r="AJ42" s="10" t="str">
        <f t="shared" si="16"/>
        <v/>
      </c>
      <c r="AK42" s="10" t="str">
        <f t="shared" si="17"/>
        <v/>
      </c>
      <c r="AL42" s="11" t="str">
        <f t="shared" si="18"/>
        <v/>
      </c>
      <c r="AN42" s="195"/>
    </row>
    <row r="43" spans="2:40" ht="16.5" thickTop="1" thickBot="1" x14ac:dyDescent="0.3">
      <c r="B43" s="1">
        <v>1</v>
      </c>
      <c r="D43" s="1">
        <v>1</v>
      </c>
      <c r="E43" s="1">
        <v>1</v>
      </c>
      <c r="H43" s="28" t="str">
        <f t="shared" si="19"/>
        <v/>
      </c>
      <c r="I43" s="29">
        <f t="shared" si="0"/>
        <v>0.490867109375</v>
      </c>
      <c r="J43" s="75">
        <f t="shared" si="1"/>
        <v>32000</v>
      </c>
      <c r="K43" s="71">
        <f t="shared" si="2"/>
        <v>24000</v>
      </c>
      <c r="L43" s="72">
        <f t="shared" si="3"/>
        <v>11780.810625</v>
      </c>
      <c r="M43" s="80">
        <f t="shared" si="20"/>
        <v>-317.81062500000007</v>
      </c>
      <c r="N43" s="81">
        <f t="shared" si="4"/>
        <v>0</v>
      </c>
      <c r="O43" s="82">
        <f t="shared" si="21"/>
        <v>0</v>
      </c>
      <c r="P43" s="71">
        <f t="shared" si="5"/>
        <v>8000</v>
      </c>
      <c r="Q43" s="103">
        <f t="shared" si="22"/>
        <v>0</v>
      </c>
      <c r="R43" s="72">
        <f t="shared" si="6"/>
        <v>3926.9368749999999</v>
      </c>
      <c r="S43" s="29">
        <f t="shared" si="23"/>
        <v>0.490867109375</v>
      </c>
      <c r="T43" s="62">
        <f t="shared" si="7"/>
        <v>0</v>
      </c>
      <c r="U43" s="90">
        <f t="shared" si="8"/>
        <v>317.81062500000007</v>
      </c>
      <c r="V43" s="62">
        <f t="shared" si="9"/>
        <v>0</v>
      </c>
      <c r="W43" s="94">
        <f t="shared" si="10"/>
        <v>0</v>
      </c>
      <c r="X43" s="154">
        <f t="shared" si="11"/>
        <v>-200.60249999999985</v>
      </c>
      <c r="Y43" s="154">
        <f t="shared" si="24"/>
        <v>-200.60249999999985</v>
      </c>
      <c r="Z43" s="1">
        <f>IF(OR(B43="",NOT($H43="")),"",ROUND(_xlfn.FORECAST.LINEAR($I43,INDEX(Z$3:Z$13,MATCH($I43,$Y$3:$Y$13,1)):INDEX(Z$3:Z$13,MATCH($I43,$Y$3:$Y$13,1)+1),INDEX($Y$3:$Y$13,MATCH($I43,$Y$3:$Y$13,1)):INDEX($Y$3:$Y$13,MATCH($I43,$Y$3:$Y$13,1)+1)),0))</f>
        <v>167</v>
      </c>
      <c r="AA43" s="39" t="str">
        <f>IF(OR(C43="",NOT($H43="")),"",ROUND(_xlfn.FORECAST.LINEAR($I43,INDEX(AA$3:AA$13,MATCH($I43,$Y$3:$Y$13,1)):INDEX(AA$3:AA$13,MATCH($I43,$Y$3:$Y$13,1)+1),INDEX($Y$3:$Y$13,MATCH($I43,$Y$3:$Y$13,1)):INDEX($Y$3:$Y$13,MATCH($I43,$Y$3:$Y$13,1)+1)),0))</f>
        <v/>
      </c>
      <c r="AB43" s="38">
        <f>IF(OR(D43="",NOT($H43="")),"",ROUND(_xlfn.FORECAST.LINEAR($S43,INDEX(AB$3:AB$13,MATCH($S43,$Y$3:$Y$13,1)):INDEX(AB$3:AB$13,MATCH($S43,$Y$3:$Y$13,1)+1),INDEX($Y$3:$Y$13,MATCH($S43,$Y$3:$Y$13,1)):INDEX($Y$3:$Y$13,MATCH($S43,$Y$3:$Y$13,1)+1)),0))</f>
        <v>198</v>
      </c>
      <c r="AC43" s="1">
        <f>IF(OR(E43="",NOT($H43="")),"",ROUND(_xlfn.FORECAST.LINEAR($S43,INDEX(AC$3:AC$13,MATCH($S43,$Y$3:$Y$13,1)):INDEX(AC$3:AC$13,MATCH($S43,$Y$3:$Y$13,1)+1),INDEX($Y$3:$Y$13,MATCH($S43,$Y$3:$Y$13,1)):INDEX($Y$3:$Y$13,MATCH($S43,$Y$3:$Y$13,1)+1)),0))</f>
        <v>198</v>
      </c>
      <c r="AD43" s="1" t="str">
        <f>IF(OR(F43="",NOT($H43="")),"",ROUND(_xlfn.FORECAST.LINEAR($S43,INDEX(AD$3:AD$13,MATCH($S43,$Y$3:$Y$13,1)):INDEX(AD$3:AD$13,MATCH($S43,$Y$3:$Y$13,1)+1),INDEX($Y$3:$Y$13,MATCH($S43,$Y$3:$Y$13,1)):INDEX($Y$3:$Y$13,MATCH($S43,$Y$3:$Y$13,1)+1)),0))</f>
        <v/>
      </c>
      <c r="AE43" s="47" t="str">
        <f>IF(OR(G43="",NOT($H43="")),"",ROUND(_xlfn.FORECAST.LINEAR($S43,INDEX(AE$3:AE$13,MATCH($S43,$Y$3:$Y$13,1)):INDEX(AE$3:AE$13,MATCH($S43,$Y$3:$Y$13,1)+1),INDEX($Y$3:$Y$13,MATCH($S43,$Y$3:$Y$13,1)):INDEX($Y$3:$Y$13,MATCH($S43,$Y$3:$Y$13,1)+1)),0))</f>
        <v/>
      </c>
      <c r="AF43" s="26">
        <f t="shared" si="12"/>
        <v>563</v>
      </c>
      <c r="AG43" s="9" t="str">
        <f t="shared" si="13"/>
        <v/>
      </c>
      <c r="AH43" s="11" t="str">
        <f t="shared" si="14"/>
        <v/>
      </c>
      <c r="AI43" s="9" t="str">
        <f t="shared" si="15"/>
        <v/>
      </c>
      <c r="AJ43" s="10" t="str">
        <f t="shared" si="16"/>
        <v/>
      </c>
      <c r="AK43" s="10" t="str">
        <f t="shared" si="17"/>
        <v/>
      </c>
      <c r="AL43" s="11" t="str">
        <f t="shared" si="18"/>
        <v/>
      </c>
      <c r="AM43" s="10">
        <f>(Z43*L43)/1000+(AB43*R43/2)/1000+(AC43*R43/2)/1000</f>
        <v>2744.9288756249998</v>
      </c>
      <c r="AN43" s="2">
        <f>AM43*3.206</f>
        <v>8800.2419752537498</v>
      </c>
    </row>
    <row r="44" spans="2:40" ht="16.5" thickTop="1" thickBot="1" x14ac:dyDescent="0.3">
      <c r="B44" s="1">
        <v>1</v>
      </c>
      <c r="D44" s="1">
        <v>1</v>
      </c>
      <c r="F44" s="1">
        <v>1</v>
      </c>
      <c r="H44" s="28" t="str">
        <f t="shared" si="19"/>
        <v/>
      </c>
      <c r="I44" s="29">
        <f t="shared" si="0"/>
        <v>0.490867109375</v>
      </c>
      <c r="J44" s="75">
        <f t="shared" si="1"/>
        <v>32000</v>
      </c>
      <c r="K44" s="71">
        <f t="shared" si="2"/>
        <v>24000</v>
      </c>
      <c r="L44" s="72">
        <f t="shared" si="3"/>
        <v>11780.810625</v>
      </c>
      <c r="M44" s="80">
        <f t="shared" si="20"/>
        <v>-317.81062500000007</v>
      </c>
      <c r="N44" s="81">
        <f t="shared" si="4"/>
        <v>0</v>
      </c>
      <c r="O44" s="82">
        <f t="shared" si="21"/>
        <v>0</v>
      </c>
      <c r="P44" s="71">
        <f t="shared" si="5"/>
        <v>8000</v>
      </c>
      <c r="Q44" s="103">
        <f t="shared" si="22"/>
        <v>0</v>
      </c>
      <c r="R44" s="72">
        <f t="shared" si="6"/>
        <v>3926.9368749999999</v>
      </c>
      <c r="S44" s="29">
        <f t="shared" si="23"/>
        <v>0.490867109375</v>
      </c>
      <c r="T44" s="62">
        <f t="shared" si="7"/>
        <v>0</v>
      </c>
      <c r="U44" s="90">
        <f t="shared" si="8"/>
        <v>317.81062500000007</v>
      </c>
      <c r="V44" s="62">
        <f t="shared" si="9"/>
        <v>0</v>
      </c>
      <c r="W44" s="94">
        <f t="shared" si="10"/>
        <v>0</v>
      </c>
      <c r="X44" s="154">
        <f t="shared" si="11"/>
        <v>-200.60249999999985</v>
      </c>
      <c r="Y44" s="154">
        <f t="shared" si="24"/>
        <v>-200.60249999999985</v>
      </c>
      <c r="Z44" s="1">
        <f>IF(OR(B44="",NOT($H44="")),"",ROUND(_xlfn.FORECAST.LINEAR($I44,INDEX(Z$3:Z$13,MATCH($I44,$Y$3:$Y$13,1)):INDEX(Z$3:Z$13,MATCH($I44,$Y$3:$Y$13,1)+1),INDEX($Y$3:$Y$13,MATCH($I44,$Y$3:$Y$13,1)):INDEX($Y$3:$Y$13,MATCH($I44,$Y$3:$Y$13,1)+1)),0))</f>
        <v>167</v>
      </c>
      <c r="AA44" s="39" t="str">
        <f>IF(OR(C44="",NOT($H44="")),"",ROUND(_xlfn.FORECAST.LINEAR($I44,INDEX(AA$3:AA$13,MATCH($I44,$Y$3:$Y$13,1)):INDEX(AA$3:AA$13,MATCH($I44,$Y$3:$Y$13,1)+1),INDEX($Y$3:$Y$13,MATCH($I44,$Y$3:$Y$13,1)):INDEX($Y$3:$Y$13,MATCH($I44,$Y$3:$Y$13,1)+1)),0))</f>
        <v/>
      </c>
      <c r="AB44" s="38">
        <f>IF(OR(D44="",NOT($H44="")),"",ROUND(_xlfn.FORECAST.LINEAR($S44,INDEX(AB$3:AB$13,MATCH($S44,$Y$3:$Y$13,1)):INDEX(AB$3:AB$13,MATCH($S44,$Y$3:$Y$13,1)+1),INDEX($Y$3:$Y$13,MATCH($S44,$Y$3:$Y$13,1)):INDEX($Y$3:$Y$13,MATCH($S44,$Y$3:$Y$13,1)+1)),0))</f>
        <v>198</v>
      </c>
      <c r="AC44" s="1" t="str">
        <f>IF(OR(E44="",NOT($H44="")),"",ROUND(_xlfn.FORECAST.LINEAR($S44,INDEX(AC$3:AC$13,MATCH($S44,$Y$3:$Y$13,1)):INDEX(AC$3:AC$13,MATCH($S44,$Y$3:$Y$13,1)+1),INDEX($Y$3:$Y$13,MATCH($S44,$Y$3:$Y$13,1)):INDEX($Y$3:$Y$13,MATCH($S44,$Y$3:$Y$13,1)+1)),0))</f>
        <v/>
      </c>
      <c r="AD44" s="1">
        <f>IF(OR(F44="",NOT($H44="")),"",ROUND(_xlfn.FORECAST.LINEAR($S44,INDEX(AD$3:AD$13,MATCH($S44,$Y$3:$Y$13,1)):INDEX(AD$3:AD$13,MATCH($S44,$Y$3:$Y$13,1)+1),INDEX($Y$3:$Y$13,MATCH($S44,$Y$3:$Y$13,1)):INDEX($Y$3:$Y$13,MATCH($S44,$Y$3:$Y$13,1)+1)),0))</f>
        <v>190</v>
      </c>
      <c r="AE44" s="47" t="str">
        <f>IF(OR(G44="",NOT($H44="")),"",ROUND(_xlfn.FORECAST.LINEAR($S44,INDEX(AE$3:AE$13,MATCH($S44,$Y$3:$Y$13,1)):INDEX(AE$3:AE$13,MATCH($S44,$Y$3:$Y$13,1)+1),INDEX($Y$3:$Y$13,MATCH($S44,$Y$3:$Y$13,1)):INDEX($Y$3:$Y$13,MATCH($S44,$Y$3:$Y$13,1)+1)),0))</f>
        <v/>
      </c>
      <c r="AF44" s="26">
        <f t="shared" si="12"/>
        <v>555</v>
      </c>
      <c r="AG44" s="9" t="str">
        <f t="shared" si="13"/>
        <v/>
      </c>
      <c r="AH44" s="11" t="str">
        <f t="shared" si="14"/>
        <v/>
      </c>
      <c r="AI44" s="9" t="str">
        <f t="shared" si="15"/>
        <v/>
      </c>
      <c r="AJ44" s="10" t="str">
        <f t="shared" si="16"/>
        <v/>
      </c>
      <c r="AK44" s="10" t="str">
        <f t="shared" si="17"/>
        <v/>
      </c>
      <c r="AL44" s="11" t="str">
        <f t="shared" si="18"/>
        <v/>
      </c>
    </row>
    <row r="45" spans="2:40" ht="16.5" thickTop="1" thickBot="1" x14ac:dyDescent="0.3">
      <c r="B45" s="1">
        <v>1</v>
      </c>
      <c r="D45" s="1">
        <v>1</v>
      </c>
      <c r="G45" s="1">
        <v>1</v>
      </c>
      <c r="H45" s="28" t="str">
        <f t="shared" si="19"/>
        <v/>
      </c>
      <c r="I45" s="29">
        <f t="shared" si="0"/>
        <v>0.490867109375</v>
      </c>
      <c r="J45" s="75">
        <f t="shared" si="1"/>
        <v>32000</v>
      </c>
      <c r="K45" s="71">
        <f t="shared" si="2"/>
        <v>24000</v>
      </c>
      <c r="L45" s="72">
        <f t="shared" si="3"/>
        <v>11780.810625</v>
      </c>
      <c r="M45" s="80">
        <f t="shared" si="20"/>
        <v>-317.81062500000007</v>
      </c>
      <c r="N45" s="81">
        <f t="shared" si="4"/>
        <v>0</v>
      </c>
      <c r="O45" s="82">
        <f t="shared" si="21"/>
        <v>0</v>
      </c>
      <c r="P45" s="71">
        <f t="shared" si="5"/>
        <v>8000</v>
      </c>
      <c r="Q45" s="103">
        <f t="shared" si="22"/>
        <v>0</v>
      </c>
      <c r="R45" s="72">
        <f t="shared" si="6"/>
        <v>3926.9368749999999</v>
      </c>
      <c r="S45" s="29">
        <f t="shared" si="23"/>
        <v>0.490867109375</v>
      </c>
      <c r="T45" s="62">
        <f t="shared" si="7"/>
        <v>0</v>
      </c>
      <c r="U45" s="90">
        <f t="shared" si="8"/>
        <v>317.81062500000007</v>
      </c>
      <c r="V45" s="62">
        <f t="shared" si="9"/>
        <v>0</v>
      </c>
      <c r="W45" s="94">
        <f t="shared" si="10"/>
        <v>0</v>
      </c>
      <c r="X45" s="154">
        <f t="shared" si="11"/>
        <v>-200.60249999999985</v>
      </c>
      <c r="Y45" s="154">
        <f t="shared" si="24"/>
        <v>-200.60249999999985</v>
      </c>
      <c r="Z45" s="1">
        <f>IF(OR(B45="",NOT($H45="")),"",ROUND(_xlfn.FORECAST.LINEAR($I45,INDEX(Z$3:Z$13,MATCH($I45,$Y$3:$Y$13,1)):INDEX(Z$3:Z$13,MATCH($I45,$Y$3:$Y$13,1)+1),INDEX($Y$3:$Y$13,MATCH($I45,$Y$3:$Y$13,1)):INDEX($Y$3:$Y$13,MATCH($I45,$Y$3:$Y$13,1)+1)),0))</f>
        <v>167</v>
      </c>
      <c r="AA45" s="39" t="str">
        <f>IF(OR(C45="",NOT($H45="")),"",ROUND(_xlfn.FORECAST.LINEAR($I45,INDEX(AA$3:AA$13,MATCH($I45,$Y$3:$Y$13,1)):INDEX(AA$3:AA$13,MATCH($I45,$Y$3:$Y$13,1)+1),INDEX($Y$3:$Y$13,MATCH($I45,$Y$3:$Y$13,1)):INDEX($Y$3:$Y$13,MATCH($I45,$Y$3:$Y$13,1)+1)),0))</f>
        <v/>
      </c>
      <c r="AB45" s="38">
        <f>IF(OR(D45="",NOT($H45="")),"",ROUND(_xlfn.FORECAST.LINEAR($S45,INDEX(AB$3:AB$13,MATCH($S45,$Y$3:$Y$13,1)):INDEX(AB$3:AB$13,MATCH($S45,$Y$3:$Y$13,1)+1),INDEX($Y$3:$Y$13,MATCH($S45,$Y$3:$Y$13,1)):INDEX($Y$3:$Y$13,MATCH($S45,$Y$3:$Y$13,1)+1)),0))</f>
        <v>198</v>
      </c>
      <c r="AC45" s="1" t="str">
        <f>IF(OR(E45="",NOT($H45="")),"",ROUND(_xlfn.FORECAST.LINEAR($S45,INDEX(AC$3:AC$13,MATCH($S45,$Y$3:$Y$13,1)):INDEX(AC$3:AC$13,MATCH($S45,$Y$3:$Y$13,1)+1),INDEX($Y$3:$Y$13,MATCH($S45,$Y$3:$Y$13,1)):INDEX($Y$3:$Y$13,MATCH($S45,$Y$3:$Y$13,1)+1)),0))</f>
        <v/>
      </c>
      <c r="AD45" s="1" t="str">
        <f>IF(OR(F45="",NOT($H45="")),"",ROUND(_xlfn.FORECAST.LINEAR($S45,INDEX(AD$3:AD$13,MATCH($S45,$Y$3:$Y$13,1)):INDEX(AD$3:AD$13,MATCH($S45,$Y$3:$Y$13,1)+1),INDEX($Y$3:$Y$13,MATCH($S45,$Y$3:$Y$13,1)):INDEX($Y$3:$Y$13,MATCH($S45,$Y$3:$Y$13,1)+1)),0))</f>
        <v/>
      </c>
      <c r="AE45" s="47">
        <f>IF(OR(G45="",NOT($H45="")),"",ROUND(_xlfn.FORECAST.LINEAR($S45,INDEX(AE$3:AE$13,MATCH($S45,$Y$3:$Y$13,1)):INDEX(AE$3:AE$13,MATCH($S45,$Y$3:$Y$13,1)+1),INDEX($Y$3:$Y$13,MATCH($S45,$Y$3:$Y$13,1)):INDEX($Y$3:$Y$13,MATCH($S45,$Y$3:$Y$13,1)+1)),0))</f>
        <v>218</v>
      </c>
      <c r="AF45" s="26">
        <f t="shared" si="12"/>
        <v>583</v>
      </c>
      <c r="AG45" s="9" t="str">
        <f t="shared" si="13"/>
        <v/>
      </c>
      <c r="AH45" s="11" t="str">
        <f t="shared" si="14"/>
        <v/>
      </c>
      <c r="AI45" s="9" t="str">
        <f t="shared" si="15"/>
        <v/>
      </c>
      <c r="AJ45" s="10" t="str">
        <f t="shared" si="16"/>
        <v/>
      </c>
      <c r="AK45" s="10" t="str">
        <f t="shared" si="17"/>
        <v/>
      </c>
      <c r="AL45" s="11" t="str">
        <f t="shared" si="18"/>
        <v/>
      </c>
    </row>
    <row r="46" spans="2:40" ht="16.5" thickTop="1" thickBot="1" x14ac:dyDescent="0.3">
      <c r="B46" s="1">
        <v>1</v>
      </c>
      <c r="E46" s="1">
        <v>1</v>
      </c>
      <c r="F46" s="1">
        <v>1</v>
      </c>
      <c r="H46" s="28" t="str">
        <f t="shared" si="19"/>
        <v/>
      </c>
      <c r="I46" s="29">
        <f t="shared" si="0"/>
        <v>0.490867109375</v>
      </c>
      <c r="J46" s="75">
        <f t="shared" si="1"/>
        <v>32000</v>
      </c>
      <c r="K46" s="71">
        <f t="shared" si="2"/>
        <v>24000</v>
      </c>
      <c r="L46" s="72">
        <f t="shared" si="3"/>
        <v>11780.810625</v>
      </c>
      <c r="M46" s="80">
        <f t="shared" si="20"/>
        <v>-317.81062500000007</v>
      </c>
      <c r="N46" s="81">
        <f t="shared" si="4"/>
        <v>0</v>
      </c>
      <c r="O46" s="82">
        <f t="shared" si="21"/>
        <v>0</v>
      </c>
      <c r="P46" s="71">
        <f t="shared" si="5"/>
        <v>8000</v>
      </c>
      <c r="Q46" s="103">
        <f t="shared" si="22"/>
        <v>0</v>
      </c>
      <c r="R46" s="72">
        <f t="shared" si="6"/>
        <v>3926.9368749999999</v>
      </c>
      <c r="S46" s="29">
        <f t="shared" si="23"/>
        <v>0.490867109375</v>
      </c>
      <c r="T46" s="62">
        <f t="shared" si="7"/>
        <v>0</v>
      </c>
      <c r="U46" s="90">
        <f t="shared" si="8"/>
        <v>317.81062500000007</v>
      </c>
      <c r="V46" s="62">
        <f t="shared" si="9"/>
        <v>0</v>
      </c>
      <c r="W46" s="94">
        <f t="shared" si="10"/>
        <v>0</v>
      </c>
      <c r="X46" s="154">
        <f t="shared" si="11"/>
        <v>-200.60249999999985</v>
      </c>
      <c r="Y46" s="154">
        <f t="shared" si="24"/>
        <v>-200.60249999999985</v>
      </c>
      <c r="Z46" s="1">
        <f>IF(OR(B46="",NOT($H46="")),"",ROUND(_xlfn.FORECAST.LINEAR($I46,INDEX(Z$3:Z$13,MATCH($I46,$Y$3:$Y$13,1)):INDEX(Z$3:Z$13,MATCH($I46,$Y$3:$Y$13,1)+1),INDEX($Y$3:$Y$13,MATCH($I46,$Y$3:$Y$13,1)):INDEX($Y$3:$Y$13,MATCH($I46,$Y$3:$Y$13,1)+1)),0))</f>
        <v>167</v>
      </c>
      <c r="AA46" s="39" t="str">
        <f>IF(OR(C46="",NOT($H46="")),"",ROUND(_xlfn.FORECAST.LINEAR($I46,INDEX(AA$3:AA$13,MATCH($I46,$Y$3:$Y$13,1)):INDEX(AA$3:AA$13,MATCH($I46,$Y$3:$Y$13,1)+1),INDEX($Y$3:$Y$13,MATCH($I46,$Y$3:$Y$13,1)):INDEX($Y$3:$Y$13,MATCH($I46,$Y$3:$Y$13,1)+1)),0))</f>
        <v/>
      </c>
      <c r="AB46" s="38" t="str">
        <f>IF(OR(D46="",NOT($H46="")),"",ROUND(_xlfn.FORECAST.LINEAR($S46,INDEX(AB$3:AB$13,MATCH($S46,$Y$3:$Y$13,1)):INDEX(AB$3:AB$13,MATCH($S46,$Y$3:$Y$13,1)+1),INDEX($Y$3:$Y$13,MATCH($S46,$Y$3:$Y$13,1)):INDEX($Y$3:$Y$13,MATCH($S46,$Y$3:$Y$13,1)+1)),0))</f>
        <v/>
      </c>
      <c r="AC46" s="1">
        <f>IF(OR(E46="",NOT($H46="")),"",ROUND(_xlfn.FORECAST.LINEAR($S46,INDEX(AC$3:AC$13,MATCH($S46,$Y$3:$Y$13,1)):INDEX(AC$3:AC$13,MATCH($S46,$Y$3:$Y$13,1)+1),INDEX($Y$3:$Y$13,MATCH($S46,$Y$3:$Y$13,1)):INDEX($Y$3:$Y$13,MATCH($S46,$Y$3:$Y$13,1)+1)),0))</f>
        <v>198</v>
      </c>
      <c r="AD46" s="1">
        <f>IF(OR(F46="",NOT($H46="")),"",ROUND(_xlfn.FORECAST.LINEAR($S46,INDEX(AD$3:AD$13,MATCH($S46,$Y$3:$Y$13,1)):INDEX(AD$3:AD$13,MATCH($S46,$Y$3:$Y$13,1)+1),INDEX($Y$3:$Y$13,MATCH($S46,$Y$3:$Y$13,1)):INDEX($Y$3:$Y$13,MATCH($S46,$Y$3:$Y$13,1)+1)),0))</f>
        <v>190</v>
      </c>
      <c r="AE46" s="47" t="str">
        <f>IF(OR(G46="",NOT($H46="")),"",ROUND(_xlfn.FORECAST.LINEAR($S46,INDEX(AE$3:AE$13,MATCH($S46,$Y$3:$Y$13,1)):INDEX(AE$3:AE$13,MATCH($S46,$Y$3:$Y$13,1)+1),INDEX($Y$3:$Y$13,MATCH($S46,$Y$3:$Y$13,1)):INDEX($Y$3:$Y$13,MATCH($S46,$Y$3:$Y$13,1)+1)),0))</f>
        <v/>
      </c>
      <c r="AF46" s="26">
        <f t="shared" si="12"/>
        <v>555</v>
      </c>
      <c r="AG46" s="9" t="str">
        <f t="shared" si="13"/>
        <v/>
      </c>
      <c r="AH46" s="11" t="str">
        <f t="shared" si="14"/>
        <v/>
      </c>
      <c r="AI46" s="9" t="str">
        <f t="shared" si="15"/>
        <v/>
      </c>
      <c r="AJ46" s="10" t="str">
        <f t="shared" si="16"/>
        <v/>
      </c>
      <c r="AK46" s="10" t="str">
        <f t="shared" si="17"/>
        <v/>
      </c>
      <c r="AL46" s="11" t="str">
        <f t="shared" si="18"/>
        <v/>
      </c>
    </row>
    <row r="47" spans="2:40" ht="16.5" thickTop="1" thickBot="1" x14ac:dyDescent="0.3">
      <c r="B47" s="1">
        <v>1</v>
      </c>
      <c r="E47" s="1">
        <v>1</v>
      </c>
      <c r="G47" s="1">
        <v>1</v>
      </c>
      <c r="H47" s="28" t="str">
        <f t="shared" si="19"/>
        <v/>
      </c>
      <c r="I47" s="29">
        <f t="shared" si="0"/>
        <v>0.490867109375</v>
      </c>
      <c r="J47" s="75">
        <f t="shared" si="1"/>
        <v>32000</v>
      </c>
      <c r="K47" s="71">
        <f t="shared" si="2"/>
        <v>24000</v>
      </c>
      <c r="L47" s="72">
        <f t="shared" si="3"/>
        <v>11780.810625</v>
      </c>
      <c r="M47" s="80">
        <f t="shared" si="20"/>
        <v>-317.81062500000007</v>
      </c>
      <c r="N47" s="81">
        <f t="shared" si="4"/>
        <v>0</v>
      </c>
      <c r="O47" s="82">
        <f t="shared" si="21"/>
        <v>0</v>
      </c>
      <c r="P47" s="71">
        <f t="shared" si="5"/>
        <v>8000</v>
      </c>
      <c r="Q47" s="103">
        <f t="shared" si="22"/>
        <v>0</v>
      </c>
      <c r="R47" s="72">
        <f t="shared" si="6"/>
        <v>3926.9368749999999</v>
      </c>
      <c r="S47" s="29">
        <f t="shared" si="23"/>
        <v>0.490867109375</v>
      </c>
      <c r="T47" s="62">
        <f t="shared" si="7"/>
        <v>0</v>
      </c>
      <c r="U47" s="90">
        <f t="shared" si="8"/>
        <v>317.81062500000007</v>
      </c>
      <c r="V47" s="62">
        <f t="shared" si="9"/>
        <v>0</v>
      </c>
      <c r="W47" s="94">
        <f t="shared" si="10"/>
        <v>0</v>
      </c>
      <c r="X47" s="154">
        <f t="shared" si="11"/>
        <v>-200.60249999999985</v>
      </c>
      <c r="Y47" s="154">
        <f t="shared" si="24"/>
        <v>-200.60249999999985</v>
      </c>
      <c r="Z47" s="1">
        <f>IF(OR(B47="",NOT($H47="")),"",ROUND(_xlfn.FORECAST.LINEAR($I47,INDEX(Z$3:Z$13,MATCH($I47,$Y$3:$Y$13,1)):INDEX(Z$3:Z$13,MATCH($I47,$Y$3:$Y$13,1)+1),INDEX($Y$3:$Y$13,MATCH($I47,$Y$3:$Y$13,1)):INDEX($Y$3:$Y$13,MATCH($I47,$Y$3:$Y$13,1)+1)),0))</f>
        <v>167</v>
      </c>
      <c r="AA47" s="39" t="str">
        <f>IF(OR(C47="",NOT($H47="")),"",ROUND(_xlfn.FORECAST.LINEAR($I47,INDEX(AA$3:AA$13,MATCH($I47,$Y$3:$Y$13,1)):INDEX(AA$3:AA$13,MATCH($I47,$Y$3:$Y$13,1)+1),INDEX($Y$3:$Y$13,MATCH($I47,$Y$3:$Y$13,1)):INDEX($Y$3:$Y$13,MATCH($I47,$Y$3:$Y$13,1)+1)),0))</f>
        <v/>
      </c>
      <c r="AB47" s="38" t="str">
        <f>IF(OR(D47="",NOT($H47="")),"",ROUND(_xlfn.FORECAST.LINEAR($S47,INDEX(AB$3:AB$13,MATCH($S47,$Y$3:$Y$13,1)):INDEX(AB$3:AB$13,MATCH($S47,$Y$3:$Y$13,1)+1),INDEX($Y$3:$Y$13,MATCH($S47,$Y$3:$Y$13,1)):INDEX($Y$3:$Y$13,MATCH($S47,$Y$3:$Y$13,1)+1)),0))</f>
        <v/>
      </c>
      <c r="AC47" s="1">
        <f>IF(OR(E47="",NOT($H47="")),"",ROUND(_xlfn.FORECAST.LINEAR($S47,INDEX(AC$3:AC$13,MATCH($S47,$Y$3:$Y$13,1)):INDEX(AC$3:AC$13,MATCH($S47,$Y$3:$Y$13,1)+1),INDEX($Y$3:$Y$13,MATCH($S47,$Y$3:$Y$13,1)):INDEX($Y$3:$Y$13,MATCH($S47,$Y$3:$Y$13,1)+1)),0))</f>
        <v>198</v>
      </c>
      <c r="AD47" s="1" t="str">
        <f>IF(OR(F47="",NOT($H47="")),"",ROUND(_xlfn.FORECAST.LINEAR($S47,INDEX(AD$3:AD$13,MATCH($S47,$Y$3:$Y$13,1)):INDEX(AD$3:AD$13,MATCH($S47,$Y$3:$Y$13,1)+1),INDEX($Y$3:$Y$13,MATCH($S47,$Y$3:$Y$13,1)):INDEX($Y$3:$Y$13,MATCH($S47,$Y$3:$Y$13,1)+1)),0))</f>
        <v/>
      </c>
      <c r="AE47" s="47">
        <f>IF(OR(G47="",NOT($H47="")),"",ROUND(_xlfn.FORECAST.LINEAR($S47,INDEX(AE$3:AE$13,MATCH($S47,$Y$3:$Y$13,1)):INDEX(AE$3:AE$13,MATCH($S47,$Y$3:$Y$13,1)+1),INDEX($Y$3:$Y$13,MATCH($S47,$Y$3:$Y$13,1)):INDEX($Y$3:$Y$13,MATCH($S47,$Y$3:$Y$13,1)+1)),0))</f>
        <v>218</v>
      </c>
      <c r="AF47" s="26">
        <f t="shared" si="12"/>
        <v>583</v>
      </c>
      <c r="AG47" s="9" t="str">
        <f t="shared" si="13"/>
        <v/>
      </c>
      <c r="AH47" s="11" t="str">
        <f t="shared" si="14"/>
        <v/>
      </c>
      <c r="AI47" s="9" t="str">
        <f t="shared" si="15"/>
        <v/>
      </c>
      <c r="AJ47" s="10" t="str">
        <f t="shared" si="16"/>
        <v/>
      </c>
      <c r="AK47" s="10" t="str">
        <f t="shared" si="17"/>
        <v/>
      </c>
      <c r="AL47" s="11" t="str">
        <f t="shared" si="18"/>
        <v/>
      </c>
      <c r="AM47" s="10">
        <f>(Z47*L47)/1000+(AE47*R47/2)/1000+(AC47*R47/2)/1000</f>
        <v>2784.1982443749998</v>
      </c>
      <c r="AN47" s="2">
        <f>AM47*3.206</f>
        <v>8926.1395714662485</v>
      </c>
    </row>
    <row r="48" spans="2:40" ht="16.5" thickTop="1" thickBot="1" x14ac:dyDescent="0.3">
      <c r="B48" s="1">
        <v>1</v>
      </c>
      <c r="F48" s="1">
        <v>1</v>
      </c>
      <c r="G48" s="1">
        <v>1</v>
      </c>
      <c r="H48" s="28" t="str">
        <f t="shared" si="19"/>
        <v/>
      </c>
      <c r="I48" s="29">
        <f t="shared" si="0"/>
        <v>0.490867109375</v>
      </c>
      <c r="J48" s="75">
        <f t="shared" si="1"/>
        <v>32000</v>
      </c>
      <c r="K48" s="71">
        <f t="shared" si="2"/>
        <v>24000</v>
      </c>
      <c r="L48" s="72">
        <f t="shared" si="3"/>
        <v>11780.810625</v>
      </c>
      <c r="M48" s="80">
        <f t="shared" si="20"/>
        <v>-317.81062500000007</v>
      </c>
      <c r="N48" s="81">
        <f t="shared" si="4"/>
        <v>0</v>
      </c>
      <c r="O48" s="82">
        <f t="shared" si="21"/>
        <v>0</v>
      </c>
      <c r="P48" s="71">
        <f t="shared" si="5"/>
        <v>8000</v>
      </c>
      <c r="Q48" s="103">
        <f t="shared" si="22"/>
        <v>0</v>
      </c>
      <c r="R48" s="72">
        <f t="shared" si="6"/>
        <v>3926.9368749999999</v>
      </c>
      <c r="S48" s="29">
        <f t="shared" si="23"/>
        <v>0.490867109375</v>
      </c>
      <c r="T48" s="62">
        <f t="shared" si="7"/>
        <v>0</v>
      </c>
      <c r="U48" s="90">
        <f t="shared" si="8"/>
        <v>317.81062500000007</v>
      </c>
      <c r="V48" s="62">
        <f t="shared" si="9"/>
        <v>0</v>
      </c>
      <c r="W48" s="94">
        <f t="shared" si="10"/>
        <v>0</v>
      </c>
      <c r="X48" s="154">
        <f t="shared" si="11"/>
        <v>-200.60249999999985</v>
      </c>
      <c r="Y48" s="154">
        <f t="shared" si="24"/>
        <v>-200.60249999999985</v>
      </c>
      <c r="Z48" s="1">
        <f>IF(OR(B48="",NOT($H48="")),"",ROUND(_xlfn.FORECAST.LINEAR($I48,INDEX(Z$3:Z$13,MATCH($I48,$Y$3:$Y$13,1)):INDEX(Z$3:Z$13,MATCH($I48,$Y$3:$Y$13,1)+1),INDEX($Y$3:$Y$13,MATCH($I48,$Y$3:$Y$13,1)):INDEX($Y$3:$Y$13,MATCH($I48,$Y$3:$Y$13,1)+1)),0))</f>
        <v>167</v>
      </c>
      <c r="AA48" s="39" t="str">
        <f>IF(OR(C48="",NOT($H48="")),"",ROUND(_xlfn.FORECAST.LINEAR($I48,INDEX(AA$3:AA$13,MATCH($I48,$Y$3:$Y$13,1)):INDEX(AA$3:AA$13,MATCH($I48,$Y$3:$Y$13,1)+1),INDEX($Y$3:$Y$13,MATCH($I48,$Y$3:$Y$13,1)):INDEX($Y$3:$Y$13,MATCH($I48,$Y$3:$Y$13,1)+1)),0))</f>
        <v/>
      </c>
      <c r="AB48" s="38" t="str">
        <f>IF(OR(D48="",NOT($H48="")),"",ROUND(_xlfn.FORECAST.LINEAR($S48,INDEX(AB$3:AB$13,MATCH($S48,$Y$3:$Y$13,1)):INDEX(AB$3:AB$13,MATCH($S48,$Y$3:$Y$13,1)+1),INDEX($Y$3:$Y$13,MATCH($S48,$Y$3:$Y$13,1)):INDEX($Y$3:$Y$13,MATCH($S48,$Y$3:$Y$13,1)+1)),0))</f>
        <v/>
      </c>
      <c r="AC48" s="1" t="str">
        <f>IF(OR(E48="",NOT($H48="")),"",ROUND(_xlfn.FORECAST.LINEAR($S48,INDEX(AC$3:AC$13,MATCH($S48,$Y$3:$Y$13,1)):INDEX(AC$3:AC$13,MATCH($S48,$Y$3:$Y$13,1)+1),INDEX($Y$3:$Y$13,MATCH($S48,$Y$3:$Y$13,1)):INDEX($Y$3:$Y$13,MATCH($S48,$Y$3:$Y$13,1)+1)),0))</f>
        <v/>
      </c>
      <c r="AD48" s="1">
        <f>IF(OR(F48="",NOT($H48="")),"",ROUND(_xlfn.FORECAST.LINEAR($S48,INDEX(AD$3:AD$13,MATCH($S48,$Y$3:$Y$13,1)):INDEX(AD$3:AD$13,MATCH($S48,$Y$3:$Y$13,1)+1),INDEX($Y$3:$Y$13,MATCH($S48,$Y$3:$Y$13,1)):INDEX($Y$3:$Y$13,MATCH($S48,$Y$3:$Y$13,1)+1)),0))</f>
        <v>190</v>
      </c>
      <c r="AE48" s="47">
        <f>IF(OR(G48="",NOT($H48="")),"",ROUND(_xlfn.FORECAST.LINEAR($S48,INDEX(AE$3:AE$13,MATCH($S48,$Y$3:$Y$13,1)):INDEX(AE$3:AE$13,MATCH($S48,$Y$3:$Y$13,1)+1),INDEX($Y$3:$Y$13,MATCH($S48,$Y$3:$Y$13,1)):INDEX($Y$3:$Y$13,MATCH($S48,$Y$3:$Y$13,1)+1)),0))</f>
        <v>218</v>
      </c>
      <c r="AF48" s="26">
        <f t="shared" si="12"/>
        <v>575</v>
      </c>
      <c r="AG48" s="9" t="str">
        <f t="shared" si="13"/>
        <v/>
      </c>
      <c r="AH48" s="11" t="str">
        <f t="shared" si="14"/>
        <v/>
      </c>
      <c r="AI48" s="9" t="str">
        <f t="shared" si="15"/>
        <v/>
      </c>
      <c r="AJ48" s="10" t="str">
        <f t="shared" si="16"/>
        <v/>
      </c>
      <c r="AK48" s="10" t="str">
        <f t="shared" si="17"/>
        <v/>
      </c>
      <c r="AL48" s="11" t="str">
        <f t="shared" si="18"/>
        <v/>
      </c>
    </row>
    <row r="49" spans="2:40" ht="16.5" thickTop="1" thickBot="1" x14ac:dyDescent="0.3">
      <c r="C49" s="1">
        <v>1</v>
      </c>
      <c r="D49" s="1">
        <v>1</v>
      </c>
      <c r="E49" s="1">
        <v>1</v>
      </c>
      <c r="H49" s="28" t="str">
        <f t="shared" si="19"/>
        <v/>
      </c>
      <c r="I49" s="29">
        <f t="shared" si="0"/>
        <v>0.490867109375</v>
      </c>
      <c r="J49" s="75">
        <f t="shared" si="1"/>
        <v>32000</v>
      </c>
      <c r="K49" s="71">
        <f t="shared" si="2"/>
        <v>24000</v>
      </c>
      <c r="L49" s="72">
        <f t="shared" si="3"/>
        <v>11780.810625</v>
      </c>
      <c r="M49" s="80">
        <f t="shared" si="20"/>
        <v>-317.81062500000007</v>
      </c>
      <c r="N49" s="81">
        <f t="shared" si="4"/>
        <v>0</v>
      </c>
      <c r="O49" s="82">
        <f t="shared" si="21"/>
        <v>0</v>
      </c>
      <c r="P49" s="71">
        <f t="shared" si="5"/>
        <v>8000</v>
      </c>
      <c r="Q49" s="103">
        <f t="shared" si="22"/>
        <v>0</v>
      </c>
      <c r="R49" s="72">
        <f t="shared" si="6"/>
        <v>3926.9368749999999</v>
      </c>
      <c r="S49" s="29">
        <f t="shared" si="23"/>
        <v>0.490867109375</v>
      </c>
      <c r="T49" s="62">
        <f t="shared" si="7"/>
        <v>0</v>
      </c>
      <c r="U49" s="90">
        <f t="shared" si="8"/>
        <v>0</v>
      </c>
      <c r="V49" s="62">
        <f t="shared" si="9"/>
        <v>0</v>
      </c>
      <c r="W49" s="94">
        <f t="shared" si="10"/>
        <v>317.81062500000007</v>
      </c>
      <c r="X49" s="154">
        <f t="shared" si="11"/>
        <v>-200.60249999999985</v>
      </c>
      <c r="Y49" s="154">
        <f t="shared" si="24"/>
        <v>-200.60249999999985</v>
      </c>
      <c r="Z49" s="1" t="str">
        <f>IF(OR(B49="",NOT($H49="")),"",ROUND(_xlfn.FORECAST.LINEAR($I49,INDEX(Z$3:Z$13,MATCH($I49,$Y$3:$Y$13,1)):INDEX(Z$3:Z$13,MATCH($I49,$Y$3:$Y$13,1)+1),INDEX($Y$3:$Y$13,MATCH($I49,$Y$3:$Y$13,1)):INDEX($Y$3:$Y$13,MATCH($I49,$Y$3:$Y$13,1)+1)),0))</f>
        <v/>
      </c>
      <c r="AA49" s="39">
        <f>IF(OR(C49="",NOT($H49="")),"",ROUND(_xlfn.FORECAST.LINEAR($I49,INDEX(AA$3:AA$13,MATCH($I49,$Y$3:$Y$13,1)):INDEX(AA$3:AA$13,MATCH($I49,$Y$3:$Y$13,1)+1),INDEX($Y$3:$Y$13,MATCH($I49,$Y$3:$Y$13,1)):INDEX($Y$3:$Y$13,MATCH($I49,$Y$3:$Y$13,1)+1)),0))</f>
        <v>167</v>
      </c>
      <c r="AB49" s="38">
        <f>IF(OR(D49="",NOT($H49="")),"",ROUND(_xlfn.FORECAST.LINEAR($S49,INDEX(AB$3:AB$13,MATCH($S49,$Y$3:$Y$13,1)):INDEX(AB$3:AB$13,MATCH($S49,$Y$3:$Y$13,1)+1),INDEX($Y$3:$Y$13,MATCH($S49,$Y$3:$Y$13,1)):INDEX($Y$3:$Y$13,MATCH($S49,$Y$3:$Y$13,1)+1)),0))</f>
        <v>198</v>
      </c>
      <c r="AC49" s="1">
        <f>IF(OR(E49="",NOT($H49="")),"",ROUND(_xlfn.FORECAST.LINEAR($S49,INDEX(AC$3:AC$13,MATCH($S49,$Y$3:$Y$13,1)):INDEX(AC$3:AC$13,MATCH($S49,$Y$3:$Y$13,1)+1),INDEX($Y$3:$Y$13,MATCH($S49,$Y$3:$Y$13,1)):INDEX($Y$3:$Y$13,MATCH($S49,$Y$3:$Y$13,1)+1)),0))</f>
        <v>198</v>
      </c>
      <c r="AD49" s="1" t="str">
        <f>IF(OR(F49="",NOT($H49="")),"",ROUND(_xlfn.FORECAST.LINEAR($S49,INDEX(AD$3:AD$13,MATCH($S49,$Y$3:$Y$13,1)):INDEX(AD$3:AD$13,MATCH($S49,$Y$3:$Y$13,1)+1),INDEX($Y$3:$Y$13,MATCH($S49,$Y$3:$Y$13,1)):INDEX($Y$3:$Y$13,MATCH($S49,$Y$3:$Y$13,1)+1)),0))</f>
        <v/>
      </c>
      <c r="AE49" s="47" t="str">
        <f>IF(OR(G49="",NOT($H49="")),"",ROUND(_xlfn.FORECAST.LINEAR($S49,INDEX(AE$3:AE$13,MATCH($S49,$Y$3:$Y$13,1)):INDEX(AE$3:AE$13,MATCH($S49,$Y$3:$Y$13,1)+1),INDEX($Y$3:$Y$13,MATCH($S49,$Y$3:$Y$13,1)):INDEX($Y$3:$Y$13,MATCH($S49,$Y$3:$Y$13,1)+1)),0))</f>
        <v/>
      </c>
      <c r="AF49" s="26">
        <f t="shared" si="12"/>
        <v>563</v>
      </c>
      <c r="AG49" s="9" t="str">
        <f t="shared" si="13"/>
        <v/>
      </c>
      <c r="AH49" s="11" t="str">
        <f t="shared" si="14"/>
        <v/>
      </c>
      <c r="AI49" s="9" t="str">
        <f t="shared" si="15"/>
        <v/>
      </c>
      <c r="AJ49" s="10" t="str">
        <f t="shared" si="16"/>
        <v/>
      </c>
      <c r="AK49" s="10" t="str">
        <f t="shared" si="17"/>
        <v/>
      </c>
      <c r="AL49" s="11" t="str">
        <f t="shared" si="18"/>
        <v/>
      </c>
    </row>
    <row r="50" spans="2:40" ht="16.5" thickTop="1" thickBot="1" x14ac:dyDescent="0.3">
      <c r="C50" s="1">
        <v>1</v>
      </c>
      <c r="D50" s="1">
        <v>1</v>
      </c>
      <c r="F50" s="1">
        <v>1</v>
      </c>
      <c r="H50" s="28" t="str">
        <f t="shared" si="19"/>
        <v/>
      </c>
      <c r="I50" s="29">
        <f t="shared" ref="I50:I75" si="25">$R$8/$J50</f>
        <v>0.490867109375</v>
      </c>
      <c r="J50" s="75">
        <f t="shared" ref="J50:J75" si="26">B50*B$10+D50*D$10+E50*E$10+F50*F$10+G50*G$10+C50*C$10</f>
        <v>32000</v>
      </c>
      <c r="K50" s="71">
        <f t="shared" ref="K50:K75" si="27">IF($B50,$B$10)+IF($C50,$C$10)</f>
        <v>24000</v>
      </c>
      <c r="L50" s="72">
        <f t="shared" ref="L50:L75" si="28">(IF($B50,$B$10)+IF($C50,$C$10))*$I50</f>
        <v>11780.810625</v>
      </c>
      <c r="M50" s="80">
        <f t="shared" si="20"/>
        <v>-317.81062500000007</v>
      </c>
      <c r="N50" s="81">
        <f t="shared" ref="N50:N75" si="29">IF(AND($B50="",$M50&gt;0),MIN($M50,$B$11),0)</f>
        <v>0</v>
      </c>
      <c r="O50" s="82">
        <f t="shared" si="21"/>
        <v>0</v>
      </c>
      <c r="P50" s="71">
        <f t="shared" ref="P50:P75" si="30">IF($D50,$D$10)+IF($E50,$E$10)+IF($F50,$F$10)+IF($G50,$G$10)</f>
        <v>8000</v>
      </c>
      <c r="Q50" s="103">
        <f t="shared" si="22"/>
        <v>0</v>
      </c>
      <c r="R50" s="72">
        <f t="shared" ref="R50:R75" si="31">(IF($D50,$D$10)+IF($E50,$E$10)+IF($F50,$F$10)+IF($G50,$G$10))*$I50+$Q50</f>
        <v>3926.9368749999999</v>
      </c>
      <c r="S50" s="29">
        <f t="shared" si="23"/>
        <v>0.490867109375</v>
      </c>
      <c r="T50" s="62">
        <f t="shared" ref="T50:T75" si="32">IF($M50&lt;0,0,MIN(($N50+$O50),$B$11))</f>
        <v>0</v>
      </c>
      <c r="U50" s="90">
        <f t="shared" ref="U50:U75" si="33">IF(AND($B50=1,$M50&lt;0),MIN(ABS($M50),$B$13),0)</f>
        <v>0</v>
      </c>
      <c r="V50" s="62">
        <f t="shared" ref="V50:V75" si="34">IF($M50&lt;0,0,MIN(($M50-$N50),$C$11))</f>
        <v>0</v>
      </c>
      <c r="W50" s="94">
        <f t="shared" ref="W50:W75" si="35">IF(AND($C50=1,$M50&lt;0),MIN((ABS($M50)-$U50),$C$13),0)</f>
        <v>317.81062500000007</v>
      </c>
      <c r="X50" s="154">
        <f t="shared" ref="X50:X75" si="36">IF(IF(U50&gt;0,0,$B$11-T50)+IF(W50&gt;0,0,$C$11-V50)&gt;$Q$5,$Q$5,IF(U50&gt;0,0,$B$11-T50)+IF(W50&gt;0,0,$C$11-V50))</f>
        <v>-200.60249999999985</v>
      </c>
      <c r="Y50" s="154">
        <f t="shared" si="24"/>
        <v>-200.60249999999985</v>
      </c>
      <c r="Z50" s="1" t="str">
        <f>IF(OR(B50="",NOT($H50="")),"",ROUND(_xlfn.FORECAST.LINEAR($I50,INDEX(Z$3:Z$13,MATCH($I50,$Y$3:$Y$13,1)):INDEX(Z$3:Z$13,MATCH($I50,$Y$3:$Y$13,1)+1),INDEX($Y$3:$Y$13,MATCH($I50,$Y$3:$Y$13,1)):INDEX($Y$3:$Y$13,MATCH($I50,$Y$3:$Y$13,1)+1)),0))</f>
        <v/>
      </c>
      <c r="AA50" s="39">
        <f>IF(OR(C50="",NOT($H50="")),"",ROUND(_xlfn.FORECAST.LINEAR($I50,INDEX(AA$3:AA$13,MATCH($I50,$Y$3:$Y$13,1)):INDEX(AA$3:AA$13,MATCH($I50,$Y$3:$Y$13,1)+1),INDEX($Y$3:$Y$13,MATCH($I50,$Y$3:$Y$13,1)):INDEX($Y$3:$Y$13,MATCH($I50,$Y$3:$Y$13,1)+1)),0))</f>
        <v>167</v>
      </c>
      <c r="AB50" s="38">
        <f>IF(OR(D50="",NOT($H50="")),"",ROUND(_xlfn.FORECAST.LINEAR($S50,INDEX(AB$3:AB$13,MATCH($S50,$Y$3:$Y$13,1)):INDEX(AB$3:AB$13,MATCH($S50,$Y$3:$Y$13,1)+1),INDEX($Y$3:$Y$13,MATCH($S50,$Y$3:$Y$13,1)):INDEX($Y$3:$Y$13,MATCH($S50,$Y$3:$Y$13,1)+1)),0))</f>
        <v>198</v>
      </c>
      <c r="AC50" s="1" t="str">
        <f>IF(OR(E50="",NOT($H50="")),"",ROUND(_xlfn.FORECAST.LINEAR($S50,INDEX(AC$3:AC$13,MATCH($S50,$Y$3:$Y$13,1)):INDEX(AC$3:AC$13,MATCH($S50,$Y$3:$Y$13,1)+1),INDEX($Y$3:$Y$13,MATCH($S50,$Y$3:$Y$13,1)):INDEX($Y$3:$Y$13,MATCH($S50,$Y$3:$Y$13,1)+1)),0))</f>
        <v/>
      </c>
      <c r="AD50" s="1">
        <f>IF(OR(F50="",NOT($H50="")),"",ROUND(_xlfn.FORECAST.LINEAR($S50,INDEX(AD$3:AD$13,MATCH($S50,$Y$3:$Y$13,1)):INDEX(AD$3:AD$13,MATCH($S50,$Y$3:$Y$13,1)+1),INDEX($Y$3:$Y$13,MATCH($S50,$Y$3:$Y$13,1)):INDEX($Y$3:$Y$13,MATCH($S50,$Y$3:$Y$13,1)+1)),0))</f>
        <v>190</v>
      </c>
      <c r="AE50" s="47" t="str">
        <f>IF(OR(G50="",NOT($H50="")),"",ROUND(_xlfn.FORECAST.LINEAR($S50,INDEX(AE$3:AE$13,MATCH($S50,$Y$3:$Y$13,1)):INDEX(AE$3:AE$13,MATCH($S50,$Y$3:$Y$13,1)+1),INDEX($Y$3:$Y$13,MATCH($S50,$Y$3:$Y$13,1)):INDEX($Y$3:$Y$13,MATCH($S50,$Y$3:$Y$13,1)+1)),0))</f>
        <v/>
      </c>
      <c r="AF50" s="26">
        <f t="shared" ref="AF50:AF75" si="37">IF($H50="",SUM(Z50:AE50),"")</f>
        <v>555</v>
      </c>
      <c r="AG50" s="9" t="str">
        <f t="shared" ref="AG50:AG75" si="38">IF(AND($AF50=$AF$17,B50=1),B$9,"")</f>
        <v/>
      </c>
      <c r="AH50" s="11" t="str">
        <f t="shared" ref="AH50:AH75" si="39">IF(AND($AF50=$AF$17,C50=1),C$9,"")</f>
        <v/>
      </c>
      <c r="AI50" s="9" t="str">
        <f t="shared" ref="AI50:AI75" si="40">IF(AND($AF50=$AF$17,D50=1),D$9,"")</f>
        <v/>
      </c>
      <c r="AJ50" s="10" t="str">
        <f t="shared" ref="AJ50:AJ75" si="41">IF(AND($AF50=$AF$17,E50=1),E$9,"")</f>
        <v/>
      </c>
      <c r="AK50" s="10" t="str">
        <f t="shared" ref="AK50:AK75" si="42">IF(AND($AF50=$AF$17,F50=1),F$9,"")</f>
        <v/>
      </c>
      <c r="AL50" s="11" t="str">
        <f t="shared" ref="AL50:AL75" si="43">IF(AND($AF50=$AF$17,G50=1),G$9,"")</f>
        <v/>
      </c>
    </row>
    <row r="51" spans="2:40" ht="16.5" thickTop="1" thickBot="1" x14ac:dyDescent="0.3">
      <c r="C51" s="1">
        <v>1</v>
      </c>
      <c r="D51" s="1">
        <v>1</v>
      </c>
      <c r="G51" s="1">
        <v>1</v>
      </c>
      <c r="H51" s="28" t="str">
        <f t="shared" si="19"/>
        <v/>
      </c>
      <c r="I51" s="29">
        <f t="shared" si="25"/>
        <v>0.490867109375</v>
      </c>
      <c r="J51" s="75">
        <f t="shared" si="26"/>
        <v>32000</v>
      </c>
      <c r="K51" s="71">
        <f t="shared" si="27"/>
        <v>24000</v>
      </c>
      <c r="L51" s="72">
        <f t="shared" si="28"/>
        <v>11780.810625</v>
      </c>
      <c r="M51" s="80">
        <f t="shared" si="20"/>
        <v>-317.81062500000007</v>
      </c>
      <c r="N51" s="81">
        <f t="shared" si="29"/>
        <v>0</v>
      </c>
      <c r="O51" s="82">
        <f t="shared" ref="O51:O75" si="44">IF($M51&lt;0,0,$M51+$Q51-$N51-$V51)</f>
        <v>0</v>
      </c>
      <c r="P51" s="71">
        <f t="shared" si="30"/>
        <v>8000</v>
      </c>
      <c r="Q51" s="103">
        <f t="shared" si="22"/>
        <v>0</v>
      </c>
      <c r="R51" s="72">
        <f t="shared" si="31"/>
        <v>3926.9368749999999</v>
      </c>
      <c r="S51" s="29">
        <f t="shared" si="23"/>
        <v>0.490867109375</v>
      </c>
      <c r="T51" s="62">
        <f t="shared" si="32"/>
        <v>0</v>
      </c>
      <c r="U51" s="90">
        <f t="shared" si="33"/>
        <v>0</v>
      </c>
      <c r="V51" s="62">
        <f t="shared" si="34"/>
        <v>0</v>
      </c>
      <c r="W51" s="94">
        <f t="shared" si="35"/>
        <v>317.81062500000007</v>
      </c>
      <c r="X51" s="154">
        <f t="shared" si="36"/>
        <v>-200.60249999999985</v>
      </c>
      <c r="Y51" s="154">
        <f t="shared" si="24"/>
        <v>-200.60249999999985</v>
      </c>
      <c r="Z51" s="1" t="str">
        <f>IF(OR(B51="",NOT($H51="")),"",ROUND(_xlfn.FORECAST.LINEAR($I51,INDEX(Z$3:Z$13,MATCH($I51,$Y$3:$Y$13,1)):INDEX(Z$3:Z$13,MATCH($I51,$Y$3:$Y$13,1)+1),INDEX($Y$3:$Y$13,MATCH($I51,$Y$3:$Y$13,1)):INDEX($Y$3:$Y$13,MATCH($I51,$Y$3:$Y$13,1)+1)),0))</f>
        <v/>
      </c>
      <c r="AA51" s="39">
        <f>IF(OR(C51="",NOT($H51="")),"",ROUND(_xlfn.FORECAST.LINEAR($I51,INDEX(AA$3:AA$13,MATCH($I51,$Y$3:$Y$13,1)):INDEX(AA$3:AA$13,MATCH($I51,$Y$3:$Y$13,1)+1),INDEX($Y$3:$Y$13,MATCH($I51,$Y$3:$Y$13,1)):INDEX($Y$3:$Y$13,MATCH($I51,$Y$3:$Y$13,1)+1)),0))</f>
        <v>167</v>
      </c>
      <c r="AB51" s="38">
        <f>IF(OR(D51="",NOT($H51="")),"",ROUND(_xlfn.FORECAST.LINEAR($S51,INDEX(AB$3:AB$13,MATCH($S51,$Y$3:$Y$13,1)):INDEX(AB$3:AB$13,MATCH($S51,$Y$3:$Y$13,1)+1),INDEX($Y$3:$Y$13,MATCH($S51,$Y$3:$Y$13,1)):INDEX($Y$3:$Y$13,MATCH($S51,$Y$3:$Y$13,1)+1)),0))</f>
        <v>198</v>
      </c>
      <c r="AC51" s="1" t="str">
        <f>IF(OR(E51="",NOT($H51="")),"",ROUND(_xlfn.FORECAST.LINEAR($S51,INDEX(AC$3:AC$13,MATCH($S51,$Y$3:$Y$13,1)):INDEX(AC$3:AC$13,MATCH($S51,$Y$3:$Y$13,1)+1),INDEX($Y$3:$Y$13,MATCH($S51,$Y$3:$Y$13,1)):INDEX($Y$3:$Y$13,MATCH($S51,$Y$3:$Y$13,1)+1)),0))</f>
        <v/>
      </c>
      <c r="AD51" s="1" t="str">
        <f>IF(OR(F51="",NOT($H51="")),"",ROUND(_xlfn.FORECAST.LINEAR($S51,INDEX(AD$3:AD$13,MATCH($S51,$Y$3:$Y$13,1)):INDEX(AD$3:AD$13,MATCH($S51,$Y$3:$Y$13,1)+1),INDEX($Y$3:$Y$13,MATCH($S51,$Y$3:$Y$13,1)):INDEX($Y$3:$Y$13,MATCH($S51,$Y$3:$Y$13,1)+1)),0))</f>
        <v/>
      </c>
      <c r="AE51" s="47">
        <f>IF(OR(G51="",NOT($H51="")),"",ROUND(_xlfn.FORECAST.LINEAR($S51,INDEX(AE$3:AE$13,MATCH($S51,$Y$3:$Y$13,1)):INDEX(AE$3:AE$13,MATCH($S51,$Y$3:$Y$13,1)+1),INDEX($Y$3:$Y$13,MATCH($S51,$Y$3:$Y$13,1)):INDEX($Y$3:$Y$13,MATCH($S51,$Y$3:$Y$13,1)+1)),0))</f>
        <v>218</v>
      </c>
      <c r="AF51" s="26">
        <f t="shared" si="37"/>
        <v>583</v>
      </c>
      <c r="AG51" s="9" t="str">
        <f t="shared" si="38"/>
        <v/>
      </c>
      <c r="AH51" s="11" t="str">
        <f t="shared" si="39"/>
        <v/>
      </c>
      <c r="AI51" s="9" t="str">
        <f t="shared" si="40"/>
        <v/>
      </c>
      <c r="AJ51" s="10" t="str">
        <f t="shared" si="41"/>
        <v/>
      </c>
      <c r="AK51" s="10" t="str">
        <f t="shared" si="42"/>
        <v/>
      </c>
      <c r="AL51" s="11" t="str">
        <f t="shared" si="43"/>
        <v/>
      </c>
    </row>
    <row r="52" spans="2:40" ht="16.5" thickTop="1" thickBot="1" x14ac:dyDescent="0.3">
      <c r="C52" s="1">
        <v>1</v>
      </c>
      <c r="E52" s="1">
        <v>1</v>
      </c>
      <c r="F52" s="1">
        <v>1</v>
      </c>
      <c r="H52" s="28" t="str">
        <f t="shared" si="19"/>
        <v/>
      </c>
      <c r="I52" s="29">
        <f t="shared" si="25"/>
        <v>0.490867109375</v>
      </c>
      <c r="J52" s="75">
        <f t="shared" si="26"/>
        <v>32000</v>
      </c>
      <c r="K52" s="71">
        <f t="shared" si="27"/>
        <v>24000</v>
      </c>
      <c r="L52" s="72">
        <f t="shared" si="28"/>
        <v>11780.810625</v>
      </c>
      <c r="M52" s="80">
        <f t="shared" si="20"/>
        <v>-317.81062500000007</v>
      </c>
      <c r="N52" s="81">
        <f t="shared" si="29"/>
        <v>0</v>
      </c>
      <c r="O52" s="82">
        <f t="shared" si="44"/>
        <v>0</v>
      </c>
      <c r="P52" s="71">
        <f t="shared" si="30"/>
        <v>8000</v>
      </c>
      <c r="Q52" s="103">
        <f t="shared" si="22"/>
        <v>0</v>
      </c>
      <c r="R52" s="72">
        <f t="shared" si="31"/>
        <v>3926.9368749999999</v>
      </c>
      <c r="S52" s="29">
        <f t="shared" si="23"/>
        <v>0.490867109375</v>
      </c>
      <c r="T52" s="62">
        <f t="shared" si="32"/>
        <v>0</v>
      </c>
      <c r="U52" s="90">
        <f t="shared" si="33"/>
        <v>0</v>
      </c>
      <c r="V52" s="62">
        <f t="shared" si="34"/>
        <v>0</v>
      </c>
      <c r="W52" s="94">
        <f t="shared" si="35"/>
        <v>317.81062500000007</v>
      </c>
      <c r="X52" s="154">
        <f t="shared" si="36"/>
        <v>-200.60249999999985</v>
      </c>
      <c r="Y52" s="154">
        <f t="shared" si="24"/>
        <v>-200.60249999999985</v>
      </c>
      <c r="Z52" s="1" t="str">
        <f>IF(OR(B52="",NOT($H52="")),"",ROUND(_xlfn.FORECAST.LINEAR($I52,INDEX(Z$3:Z$13,MATCH($I52,$Y$3:$Y$13,1)):INDEX(Z$3:Z$13,MATCH($I52,$Y$3:$Y$13,1)+1),INDEX($Y$3:$Y$13,MATCH($I52,$Y$3:$Y$13,1)):INDEX($Y$3:$Y$13,MATCH($I52,$Y$3:$Y$13,1)+1)),0))</f>
        <v/>
      </c>
      <c r="AA52" s="39">
        <f>IF(OR(C52="",NOT($H52="")),"",ROUND(_xlfn.FORECAST.LINEAR($I52,INDEX(AA$3:AA$13,MATCH($I52,$Y$3:$Y$13,1)):INDEX(AA$3:AA$13,MATCH($I52,$Y$3:$Y$13,1)+1),INDEX($Y$3:$Y$13,MATCH($I52,$Y$3:$Y$13,1)):INDEX($Y$3:$Y$13,MATCH($I52,$Y$3:$Y$13,1)+1)),0))</f>
        <v>167</v>
      </c>
      <c r="AB52" s="38" t="str">
        <f>IF(OR(D52="",NOT($H52="")),"",ROUND(_xlfn.FORECAST.LINEAR($S52,INDEX(AB$3:AB$13,MATCH($S52,$Y$3:$Y$13,1)):INDEX(AB$3:AB$13,MATCH($S52,$Y$3:$Y$13,1)+1),INDEX($Y$3:$Y$13,MATCH($S52,$Y$3:$Y$13,1)):INDEX($Y$3:$Y$13,MATCH($S52,$Y$3:$Y$13,1)+1)),0))</f>
        <v/>
      </c>
      <c r="AC52" s="1">
        <f>IF(OR(E52="",NOT($H52="")),"",ROUND(_xlfn.FORECAST.LINEAR($S52,INDEX(AC$3:AC$13,MATCH($S52,$Y$3:$Y$13,1)):INDEX(AC$3:AC$13,MATCH($S52,$Y$3:$Y$13,1)+1),INDEX($Y$3:$Y$13,MATCH($S52,$Y$3:$Y$13,1)):INDEX($Y$3:$Y$13,MATCH($S52,$Y$3:$Y$13,1)+1)),0))</f>
        <v>198</v>
      </c>
      <c r="AD52" s="1">
        <f>IF(OR(F52="",NOT($H52="")),"",ROUND(_xlfn.FORECAST.LINEAR($S52,INDEX(AD$3:AD$13,MATCH($S52,$Y$3:$Y$13,1)):INDEX(AD$3:AD$13,MATCH($S52,$Y$3:$Y$13,1)+1),INDEX($Y$3:$Y$13,MATCH($S52,$Y$3:$Y$13,1)):INDEX($Y$3:$Y$13,MATCH($S52,$Y$3:$Y$13,1)+1)),0))</f>
        <v>190</v>
      </c>
      <c r="AE52" s="47" t="str">
        <f>IF(OR(G52="",NOT($H52="")),"",ROUND(_xlfn.FORECAST.LINEAR($S52,INDEX(AE$3:AE$13,MATCH($S52,$Y$3:$Y$13,1)):INDEX(AE$3:AE$13,MATCH($S52,$Y$3:$Y$13,1)+1),INDEX($Y$3:$Y$13,MATCH($S52,$Y$3:$Y$13,1)):INDEX($Y$3:$Y$13,MATCH($S52,$Y$3:$Y$13,1)+1)),0))</f>
        <v/>
      </c>
      <c r="AF52" s="26">
        <f t="shared" si="37"/>
        <v>555</v>
      </c>
      <c r="AG52" s="9" t="str">
        <f t="shared" si="38"/>
        <v/>
      </c>
      <c r="AH52" s="11" t="str">
        <f t="shared" si="39"/>
        <v/>
      </c>
      <c r="AI52" s="9" t="str">
        <f t="shared" si="40"/>
        <v/>
      </c>
      <c r="AJ52" s="10" t="str">
        <f t="shared" si="41"/>
        <v/>
      </c>
      <c r="AK52" s="10" t="str">
        <f t="shared" si="42"/>
        <v/>
      </c>
      <c r="AL52" s="11" t="str">
        <f t="shared" si="43"/>
        <v/>
      </c>
    </row>
    <row r="53" spans="2:40" ht="16.5" thickTop="1" thickBot="1" x14ac:dyDescent="0.3">
      <c r="C53" s="1">
        <v>1</v>
      </c>
      <c r="E53" s="1">
        <v>1</v>
      </c>
      <c r="G53" s="1">
        <v>1</v>
      </c>
      <c r="H53" s="28" t="str">
        <f t="shared" si="19"/>
        <v/>
      </c>
      <c r="I53" s="29">
        <f t="shared" si="25"/>
        <v>0.490867109375</v>
      </c>
      <c r="J53" s="75">
        <f t="shared" si="26"/>
        <v>32000</v>
      </c>
      <c r="K53" s="71">
        <f t="shared" si="27"/>
        <v>24000</v>
      </c>
      <c r="L53" s="72">
        <f t="shared" si="28"/>
        <v>11780.810625</v>
      </c>
      <c r="M53" s="80">
        <f t="shared" si="20"/>
        <v>-317.81062500000007</v>
      </c>
      <c r="N53" s="81">
        <f t="shared" si="29"/>
        <v>0</v>
      </c>
      <c r="O53" s="82">
        <f t="shared" si="44"/>
        <v>0</v>
      </c>
      <c r="P53" s="71">
        <f t="shared" si="30"/>
        <v>8000</v>
      </c>
      <c r="Q53" s="103">
        <f t="shared" si="22"/>
        <v>0</v>
      </c>
      <c r="R53" s="72">
        <f t="shared" si="31"/>
        <v>3926.9368749999999</v>
      </c>
      <c r="S53" s="29">
        <f t="shared" si="23"/>
        <v>0.490867109375</v>
      </c>
      <c r="T53" s="62">
        <f t="shared" si="32"/>
        <v>0</v>
      </c>
      <c r="U53" s="90">
        <f t="shared" si="33"/>
        <v>0</v>
      </c>
      <c r="V53" s="62">
        <f t="shared" si="34"/>
        <v>0</v>
      </c>
      <c r="W53" s="94">
        <f t="shared" si="35"/>
        <v>317.81062500000007</v>
      </c>
      <c r="X53" s="154">
        <f t="shared" si="36"/>
        <v>-200.60249999999985</v>
      </c>
      <c r="Y53" s="154">
        <f t="shared" si="24"/>
        <v>-200.60249999999985</v>
      </c>
      <c r="Z53" s="1" t="str">
        <f>IF(OR(B53="",NOT($H53="")),"",ROUND(_xlfn.FORECAST.LINEAR($I53,INDEX(Z$3:Z$13,MATCH($I53,$Y$3:$Y$13,1)):INDEX(Z$3:Z$13,MATCH($I53,$Y$3:$Y$13,1)+1),INDEX($Y$3:$Y$13,MATCH($I53,$Y$3:$Y$13,1)):INDEX($Y$3:$Y$13,MATCH($I53,$Y$3:$Y$13,1)+1)),0))</f>
        <v/>
      </c>
      <c r="AA53" s="39">
        <f>IF(OR(C53="",NOT($H53="")),"",ROUND(_xlfn.FORECAST.LINEAR($I53,INDEX(AA$3:AA$13,MATCH($I53,$Y$3:$Y$13,1)):INDEX(AA$3:AA$13,MATCH($I53,$Y$3:$Y$13,1)+1),INDEX($Y$3:$Y$13,MATCH($I53,$Y$3:$Y$13,1)):INDEX($Y$3:$Y$13,MATCH($I53,$Y$3:$Y$13,1)+1)),0))</f>
        <v>167</v>
      </c>
      <c r="AB53" s="38" t="str">
        <f>IF(OR(D53="",NOT($H53="")),"",ROUND(_xlfn.FORECAST.LINEAR($S53,INDEX(AB$3:AB$13,MATCH($S53,$Y$3:$Y$13,1)):INDEX(AB$3:AB$13,MATCH($S53,$Y$3:$Y$13,1)+1),INDEX($Y$3:$Y$13,MATCH($S53,$Y$3:$Y$13,1)):INDEX($Y$3:$Y$13,MATCH($S53,$Y$3:$Y$13,1)+1)),0))</f>
        <v/>
      </c>
      <c r="AC53" s="1">
        <f>IF(OR(E53="",NOT($H53="")),"",ROUND(_xlfn.FORECAST.LINEAR($S53,INDEX(AC$3:AC$13,MATCH($S53,$Y$3:$Y$13,1)):INDEX(AC$3:AC$13,MATCH($S53,$Y$3:$Y$13,1)+1),INDEX($Y$3:$Y$13,MATCH($S53,$Y$3:$Y$13,1)):INDEX($Y$3:$Y$13,MATCH($S53,$Y$3:$Y$13,1)+1)),0))</f>
        <v>198</v>
      </c>
      <c r="AD53" s="1" t="str">
        <f>IF(OR(F53="",NOT($H53="")),"",ROUND(_xlfn.FORECAST.LINEAR($S53,INDEX(AD$3:AD$13,MATCH($S53,$Y$3:$Y$13,1)):INDEX(AD$3:AD$13,MATCH($S53,$Y$3:$Y$13,1)+1),INDEX($Y$3:$Y$13,MATCH($S53,$Y$3:$Y$13,1)):INDEX($Y$3:$Y$13,MATCH($S53,$Y$3:$Y$13,1)+1)),0))</f>
        <v/>
      </c>
      <c r="AE53" s="47">
        <f>IF(OR(G53="",NOT($H53="")),"",ROUND(_xlfn.FORECAST.LINEAR($S53,INDEX(AE$3:AE$13,MATCH($S53,$Y$3:$Y$13,1)):INDEX(AE$3:AE$13,MATCH($S53,$Y$3:$Y$13,1)+1),INDEX($Y$3:$Y$13,MATCH($S53,$Y$3:$Y$13,1)):INDEX($Y$3:$Y$13,MATCH($S53,$Y$3:$Y$13,1)+1)),0))</f>
        <v>218</v>
      </c>
      <c r="AF53" s="26">
        <f t="shared" si="37"/>
        <v>583</v>
      </c>
      <c r="AG53" s="9" t="str">
        <f t="shared" si="38"/>
        <v/>
      </c>
      <c r="AH53" s="11" t="str">
        <f t="shared" si="39"/>
        <v/>
      </c>
      <c r="AI53" s="9" t="str">
        <f t="shared" si="40"/>
        <v/>
      </c>
      <c r="AJ53" s="10" t="str">
        <f t="shared" si="41"/>
        <v/>
      </c>
      <c r="AK53" s="10" t="str">
        <f t="shared" si="42"/>
        <v/>
      </c>
      <c r="AL53" s="11" t="str">
        <f t="shared" si="43"/>
        <v/>
      </c>
    </row>
    <row r="54" spans="2:40" ht="16.5" thickTop="1" thickBot="1" x14ac:dyDescent="0.3">
      <c r="C54" s="1">
        <v>1</v>
      </c>
      <c r="F54" s="1">
        <v>1</v>
      </c>
      <c r="G54" s="1">
        <v>1</v>
      </c>
      <c r="H54" s="28" t="str">
        <f t="shared" si="19"/>
        <v/>
      </c>
      <c r="I54" s="29">
        <f t="shared" si="25"/>
        <v>0.490867109375</v>
      </c>
      <c r="J54" s="75">
        <f t="shared" si="26"/>
        <v>32000</v>
      </c>
      <c r="K54" s="71">
        <f t="shared" si="27"/>
        <v>24000</v>
      </c>
      <c r="L54" s="72">
        <f t="shared" si="28"/>
        <v>11780.810625</v>
      </c>
      <c r="M54" s="80">
        <f t="shared" si="20"/>
        <v>-317.81062500000007</v>
      </c>
      <c r="N54" s="81">
        <f t="shared" si="29"/>
        <v>0</v>
      </c>
      <c r="O54" s="82">
        <f t="shared" si="44"/>
        <v>0</v>
      </c>
      <c r="P54" s="71">
        <f t="shared" si="30"/>
        <v>8000</v>
      </c>
      <c r="Q54" s="103">
        <f t="shared" si="22"/>
        <v>0</v>
      </c>
      <c r="R54" s="72">
        <f t="shared" si="31"/>
        <v>3926.9368749999999</v>
      </c>
      <c r="S54" s="29">
        <f t="shared" si="23"/>
        <v>0.490867109375</v>
      </c>
      <c r="T54" s="62">
        <f t="shared" si="32"/>
        <v>0</v>
      </c>
      <c r="U54" s="90">
        <f t="shared" si="33"/>
        <v>0</v>
      </c>
      <c r="V54" s="62">
        <f t="shared" si="34"/>
        <v>0</v>
      </c>
      <c r="W54" s="94">
        <f t="shared" si="35"/>
        <v>317.81062500000007</v>
      </c>
      <c r="X54" s="154">
        <f t="shared" si="36"/>
        <v>-200.60249999999985</v>
      </c>
      <c r="Y54" s="154">
        <f t="shared" si="24"/>
        <v>-200.60249999999985</v>
      </c>
      <c r="Z54" s="1" t="str">
        <f>IF(OR(B54="",NOT($H54="")),"",ROUND(_xlfn.FORECAST.LINEAR($I54,INDEX(Z$3:Z$13,MATCH($I54,$Y$3:$Y$13,1)):INDEX(Z$3:Z$13,MATCH($I54,$Y$3:$Y$13,1)+1),INDEX($Y$3:$Y$13,MATCH($I54,$Y$3:$Y$13,1)):INDEX($Y$3:$Y$13,MATCH($I54,$Y$3:$Y$13,1)+1)),0))</f>
        <v/>
      </c>
      <c r="AA54" s="39">
        <f>IF(OR(C54="",NOT($H54="")),"",ROUND(_xlfn.FORECAST.LINEAR($I54,INDEX(AA$3:AA$13,MATCH($I54,$Y$3:$Y$13,1)):INDEX(AA$3:AA$13,MATCH($I54,$Y$3:$Y$13,1)+1),INDEX($Y$3:$Y$13,MATCH($I54,$Y$3:$Y$13,1)):INDEX($Y$3:$Y$13,MATCH($I54,$Y$3:$Y$13,1)+1)),0))</f>
        <v>167</v>
      </c>
      <c r="AB54" s="38" t="str">
        <f>IF(OR(D54="",NOT($H54="")),"",ROUND(_xlfn.FORECAST.LINEAR($S54,INDEX(AB$3:AB$13,MATCH($S54,$Y$3:$Y$13,1)):INDEX(AB$3:AB$13,MATCH($S54,$Y$3:$Y$13,1)+1),INDEX($Y$3:$Y$13,MATCH($S54,$Y$3:$Y$13,1)):INDEX($Y$3:$Y$13,MATCH($S54,$Y$3:$Y$13,1)+1)),0))</f>
        <v/>
      </c>
      <c r="AC54" s="1" t="str">
        <f>IF(OR(E54="",NOT($H54="")),"",ROUND(_xlfn.FORECAST.LINEAR($S54,INDEX(AC$3:AC$13,MATCH($S54,$Y$3:$Y$13,1)):INDEX(AC$3:AC$13,MATCH($S54,$Y$3:$Y$13,1)+1),INDEX($Y$3:$Y$13,MATCH($S54,$Y$3:$Y$13,1)):INDEX($Y$3:$Y$13,MATCH($S54,$Y$3:$Y$13,1)+1)),0))</f>
        <v/>
      </c>
      <c r="AD54" s="1">
        <f>IF(OR(F54="",NOT($H54="")),"",ROUND(_xlfn.FORECAST.LINEAR($S54,INDEX(AD$3:AD$13,MATCH($S54,$Y$3:$Y$13,1)):INDEX(AD$3:AD$13,MATCH($S54,$Y$3:$Y$13,1)+1),INDEX($Y$3:$Y$13,MATCH($S54,$Y$3:$Y$13,1)):INDEX($Y$3:$Y$13,MATCH($S54,$Y$3:$Y$13,1)+1)),0))</f>
        <v>190</v>
      </c>
      <c r="AE54" s="47">
        <f>IF(OR(G54="",NOT($H54="")),"",ROUND(_xlfn.FORECAST.LINEAR($S54,INDEX(AE$3:AE$13,MATCH($S54,$Y$3:$Y$13,1)):INDEX(AE$3:AE$13,MATCH($S54,$Y$3:$Y$13,1)+1),INDEX($Y$3:$Y$13,MATCH($S54,$Y$3:$Y$13,1)):INDEX($Y$3:$Y$13,MATCH($S54,$Y$3:$Y$13,1)+1)),0))</f>
        <v>218</v>
      </c>
      <c r="AF54" s="26">
        <f t="shared" si="37"/>
        <v>575</v>
      </c>
      <c r="AG54" s="9" t="str">
        <f t="shared" si="38"/>
        <v/>
      </c>
      <c r="AH54" s="11" t="str">
        <f t="shared" si="39"/>
        <v/>
      </c>
      <c r="AI54" s="9" t="str">
        <f t="shared" si="40"/>
        <v/>
      </c>
      <c r="AJ54" s="10" t="str">
        <f t="shared" si="41"/>
        <v/>
      </c>
      <c r="AK54" s="10" t="str">
        <f t="shared" si="42"/>
        <v/>
      </c>
      <c r="AL54" s="11" t="str">
        <f t="shared" si="43"/>
        <v/>
      </c>
      <c r="AM54" s="10"/>
      <c r="AN54" s="2"/>
    </row>
    <row r="55" spans="2:40" ht="16.5" thickTop="1" thickBot="1" x14ac:dyDescent="0.3">
      <c r="B55" s="1">
        <v>1</v>
      </c>
      <c r="C55" s="1">
        <v>1</v>
      </c>
      <c r="D55" s="1">
        <v>1</v>
      </c>
      <c r="H55" s="28" t="str">
        <f t="shared" si="19"/>
        <v/>
      </c>
      <c r="I55" s="29">
        <f t="shared" si="25"/>
        <v>0.30207206730769232</v>
      </c>
      <c r="J55" s="75">
        <f t="shared" si="26"/>
        <v>52000</v>
      </c>
      <c r="K55" s="71">
        <f t="shared" si="27"/>
        <v>48000</v>
      </c>
      <c r="L55" s="72">
        <f t="shared" si="28"/>
        <v>14499.459230769231</v>
      </c>
      <c r="M55" s="80">
        <f t="shared" si="20"/>
        <v>-3036.459230769231</v>
      </c>
      <c r="N55" s="81">
        <f t="shared" si="29"/>
        <v>0</v>
      </c>
      <c r="O55" s="82">
        <f t="shared" si="44"/>
        <v>0</v>
      </c>
      <c r="P55" s="71">
        <f t="shared" si="30"/>
        <v>4000</v>
      </c>
      <c r="Q55" s="103">
        <f t="shared" si="22"/>
        <v>0</v>
      </c>
      <c r="R55" s="72">
        <f t="shared" si="31"/>
        <v>1208.2882692307692</v>
      </c>
      <c r="S55" s="29">
        <f t="shared" si="23"/>
        <v>0.30207206730769232</v>
      </c>
      <c r="T55" s="62">
        <f t="shared" si="32"/>
        <v>0</v>
      </c>
      <c r="U55" s="90">
        <f t="shared" si="33"/>
        <v>3036.459230769231</v>
      </c>
      <c r="V55" s="62">
        <f t="shared" si="34"/>
        <v>0</v>
      </c>
      <c r="W55" s="94">
        <f t="shared" si="35"/>
        <v>0</v>
      </c>
      <c r="X55" s="154">
        <f t="shared" si="36"/>
        <v>-200.60249999999985</v>
      </c>
      <c r="Y55" s="154">
        <f t="shared" si="24"/>
        <v>-200.60249999999985</v>
      </c>
      <c r="Z55" s="1">
        <f>IF(OR(B55="",NOT($H55="")),"",ROUND(_xlfn.FORECAST.LINEAR($I55,INDEX(Z$3:Z$13,MATCH($I55,$Y$3:$Y$13,1)):INDEX(Z$3:Z$13,MATCH($I55,$Y$3:$Y$13,1)+1),INDEX($Y$3:$Y$13,MATCH($I55,$Y$3:$Y$13,1)):INDEX($Y$3:$Y$13,MATCH($I55,$Y$3:$Y$13,1)+1)),0))</f>
        <v>173</v>
      </c>
      <c r="AA55" s="39">
        <f>IF(OR(C55="",NOT($H55="")),"",ROUND(_xlfn.FORECAST.LINEAR($I55,INDEX(AA$3:AA$13,MATCH($I55,$Y$3:$Y$13,1)):INDEX(AA$3:AA$13,MATCH($I55,$Y$3:$Y$13,1)+1),INDEX($Y$3:$Y$13,MATCH($I55,$Y$3:$Y$13,1)):INDEX($Y$3:$Y$13,MATCH($I55,$Y$3:$Y$13,1)+1)),0))</f>
        <v>173</v>
      </c>
      <c r="AB55" s="38">
        <f>IF(OR(D55="",NOT($H55="")),"",ROUND(_xlfn.FORECAST.LINEAR($S55,INDEX(AB$3:AB$13,MATCH($S55,$Y$3:$Y$13,1)):INDEX(AB$3:AB$13,MATCH($S55,$Y$3:$Y$13,1)+1),INDEX($Y$3:$Y$13,MATCH($S55,$Y$3:$Y$13,1)):INDEX($Y$3:$Y$13,MATCH($S55,$Y$3:$Y$13,1)+1)),0))</f>
        <v>220</v>
      </c>
      <c r="AC55" s="1" t="str">
        <f>IF(OR(E55="",NOT($H55="")),"",ROUND(_xlfn.FORECAST.LINEAR($S55,INDEX(AC$3:AC$13,MATCH($S55,$Y$3:$Y$13,1)):INDEX(AC$3:AC$13,MATCH($S55,$Y$3:$Y$13,1)+1),INDEX($Y$3:$Y$13,MATCH($S55,$Y$3:$Y$13,1)):INDEX($Y$3:$Y$13,MATCH($S55,$Y$3:$Y$13,1)+1)),0))</f>
        <v/>
      </c>
      <c r="AD55" s="1" t="str">
        <f>IF(OR(F55="",NOT($H55="")),"",ROUND(_xlfn.FORECAST.LINEAR($S55,INDEX(AD$3:AD$13,MATCH($S55,$Y$3:$Y$13,1)):INDEX(AD$3:AD$13,MATCH($S55,$Y$3:$Y$13,1)+1),INDEX($Y$3:$Y$13,MATCH($S55,$Y$3:$Y$13,1)):INDEX($Y$3:$Y$13,MATCH($S55,$Y$3:$Y$13,1)+1)),0))</f>
        <v/>
      </c>
      <c r="AE55" s="47" t="str">
        <f>IF(OR(G55="",NOT($H55="")),"",ROUND(_xlfn.FORECAST.LINEAR($S55,INDEX(AE$3:AE$13,MATCH($S55,$Y$3:$Y$13,1)):INDEX(AE$3:AE$13,MATCH($S55,$Y$3:$Y$13,1)+1),INDEX($Y$3:$Y$13,MATCH($S55,$Y$3:$Y$13,1)):INDEX($Y$3:$Y$13,MATCH($S55,$Y$3:$Y$13,1)+1)),0))</f>
        <v/>
      </c>
      <c r="AF55" s="26">
        <f t="shared" si="37"/>
        <v>566</v>
      </c>
      <c r="AG55" s="9" t="str">
        <f t="shared" si="38"/>
        <v/>
      </c>
      <c r="AH55" s="11" t="str">
        <f t="shared" si="39"/>
        <v/>
      </c>
      <c r="AI55" s="9" t="str">
        <f t="shared" si="40"/>
        <v/>
      </c>
      <c r="AJ55" s="10" t="str">
        <f t="shared" si="41"/>
        <v/>
      </c>
      <c r="AK55" s="10" t="str">
        <f t="shared" si="42"/>
        <v/>
      </c>
      <c r="AL55" s="11" t="str">
        <f t="shared" si="43"/>
        <v/>
      </c>
    </row>
    <row r="56" spans="2:40" ht="16.5" thickTop="1" thickBot="1" x14ac:dyDescent="0.3">
      <c r="B56" s="1">
        <v>1</v>
      </c>
      <c r="C56" s="1">
        <v>1</v>
      </c>
      <c r="E56" s="1">
        <v>1</v>
      </c>
      <c r="H56" s="28" t="str">
        <f t="shared" si="19"/>
        <v/>
      </c>
      <c r="I56" s="29">
        <f t="shared" si="25"/>
        <v>0.30207206730769232</v>
      </c>
      <c r="J56" s="75">
        <f t="shared" si="26"/>
        <v>52000</v>
      </c>
      <c r="K56" s="71">
        <f t="shared" si="27"/>
        <v>48000</v>
      </c>
      <c r="L56" s="72">
        <f t="shared" si="28"/>
        <v>14499.459230769231</v>
      </c>
      <c r="M56" s="80">
        <f t="shared" si="20"/>
        <v>-3036.459230769231</v>
      </c>
      <c r="N56" s="81">
        <f t="shared" si="29"/>
        <v>0</v>
      </c>
      <c r="O56" s="82">
        <f t="shared" si="44"/>
        <v>0</v>
      </c>
      <c r="P56" s="71">
        <f t="shared" si="30"/>
        <v>4000</v>
      </c>
      <c r="Q56" s="103">
        <f t="shared" si="22"/>
        <v>0</v>
      </c>
      <c r="R56" s="72">
        <f t="shared" si="31"/>
        <v>1208.2882692307692</v>
      </c>
      <c r="S56" s="29">
        <f t="shared" si="23"/>
        <v>0.30207206730769232</v>
      </c>
      <c r="T56" s="62">
        <f t="shared" si="32"/>
        <v>0</v>
      </c>
      <c r="U56" s="90">
        <f t="shared" si="33"/>
        <v>3036.459230769231</v>
      </c>
      <c r="V56" s="62">
        <f t="shared" si="34"/>
        <v>0</v>
      </c>
      <c r="W56" s="94">
        <f t="shared" si="35"/>
        <v>0</v>
      </c>
      <c r="X56" s="154">
        <f t="shared" si="36"/>
        <v>-200.60249999999985</v>
      </c>
      <c r="Y56" s="154">
        <f t="shared" si="24"/>
        <v>-200.60249999999985</v>
      </c>
      <c r="Z56" s="1">
        <f>IF(OR(B56="",NOT($H56="")),"",ROUND(_xlfn.FORECAST.LINEAR($I56,INDEX(Z$3:Z$13,MATCH($I56,$Y$3:$Y$13,1)):INDEX(Z$3:Z$13,MATCH($I56,$Y$3:$Y$13,1)+1),INDEX($Y$3:$Y$13,MATCH($I56,$Y$3:$Y$13,1)):INDEX($Y$3:$Y$13,MATCH($I56,$Y$3:$Y$13,1)+1)),0))</f>
        <v>173</v>
      </c>
      <c r="AA56" s="39">
        <f>IF(OR(C56="",NOT($H56="")),"",ROUND(_xlfn.FORECAST.LINEAR($I56,INDEX(AA$3:AA$13,MATCH($I56,$Y$3:$Y$13,1)):INDEX(AA$3:AA$13,MATCH($I56,$Y$3:$Y$13,1)+1),INDEX($Y$3:$Y$13,MATCH($I56,$Y$3:$Y$13,1)):INDEX($Y$3:$Y$13,MATCH($I56,$Y$3:$Y$13,1)+1)),0))</f>
        <v>173</v>
      </c>
      <c r="AB56" s="38" t="str">
        <f>IF(OR(D56="",NOT($H56="")),"",ROUND(_xlfn.FORECAST.LINEAR($S56,INDEX(AB$3:AB$13,MATCH($S56,$Y$3:$Y$13,1)):INDEX(AB$3:AB$13,MATCH($S56,$Y$3:$Y$13,1)+1),INDEX($Y$3:$Y$13,MATCH($S56,$Y$3:$Y$13,1)):INDEX($Y$3:$Y$13,MATCH($S56,$Y$3:$Y$13,1)+1)),0))</f>
        <v/>
      </c>
      <c r="AC56" s="1">
        <f>IF(OR(E56="",NOT($H56="")),"",ROUND(_xlfn.FORECAST.LINEAR($S56,INDEX(AC$3:AC$13,MATCH($S56,$Y$3:$Y$13,1)):INDEX(AC$3:AC$13,MATCH($S56,$Y$3:$Y$13,1)+1),INDEX($Y$3:$Y$13,MATCH($S56,$Y$3:$Y$13,1)):INDEX($Y$3:$Y$13,MATCH($S56,$Y$3:$Y$13,1)+1)),0))</f>
        <v>220</v>
      </c>
      <c r="AD56" s="1" t="str">
        <f>IF(OR(F56="",NOT($H56="")),"",ROUND(_xlfn.FORECAST.LINEAR($S56,INDEX(AD$3:AD$13,MATCH($S56,$Y$3:$Y$13,1)):INDEX(AD$3:AD$13,MATCH($S56,$Y$3:$Y$13,1)+1),INDEX($Y$3:$Y$13,MATCH($S56,$Y$3:$Y$13,1)):INDEX($Y$3:$Y$13,MATCH($S56,$Y$3:$Y$13,1)+1)),0))</f>
        <v/>
      </c>
      <c r="AE56" s="47" t="str">
        <f>IF(OR(G56="",NOT($H56="")),"",ROUND(_xlfn.FORECAST.LINEAR($S56,INDEX(AE$3:AE$13,MATCH($S56,$Y$3:$Y$13,1)):INDEX(AE$3:AE$13,MATCH($S56,$Y$3:$Y$13,1)+1),INDEX($Y$3:$Y$13,MATCH($S56,$Y$3:$Y$13,1)):INDEX($Y$3:$Y$13,MATCH($S56,$Y$3:$Y$13,1)+1)),0))</f>
        <v/>
      </c>
      <c r="AF56" s="26">
        <f t="shared" si="37"/>
        <v>566</v>
      </c>
      <c r="AG56" s="9" t="str">
        <f t="shared" si="38"/>
        <v/>
      </c>
      <c r="AH56" s="11" t="str">
        <f t="shared" si="39"/>
        <v/>
      </c>
      <c r="AI56" s="9" t="str">
        <f t="shared" si="40"/>
        <v/>
      </c>
      <c r="AJ56" s="10" t="str">
        <f t="shared" si="41"/>
        <v/>
      </c>
      <c r="AK56" s="10" t="str">
        <f t="shared" si="42"/>
        <v/>
      </c>
      <c r="AL56" s="11" t="str">
        <f t="shared" si="43"/>
        <v/>
      </c>
    </row>
    <row r="57" spans="2:40" ht="16.5" thickTop="1" thickBot="1" x14ac:dyDescent="0.3">
      <c r="B57" s="1">
        <v>1</v>
      </c>
      <c r="C57" s="1">
        <v>1</v>
      </c>
      <c r="F57" s="1">
        <v>1</v>
      </c>
      <c r="H57" s="28" t="str">
        <f t="shared" si="19"/>
        <v/>
      </c>
      <c r="I57" s="29">
        <f t="shared" si="25"/>
        <v>0.30207206730769232</v>
      </c>
      <c r="J57" s="75">
        <f t="shared" si="26"/>
        <v>52000</v>
      </c>
      <c r="K57" s="71">
        <f t="shared" si="27"/>
        <v>48000</v>
      </c>
      <c r="L57" s="72">
        <f t="shared" si="28"/>
        <v>14499.459230769231</v>
      </c>
      <c r="M57" s="80">
        <f t="shared" si="20"/>
        <v>-3036.459230769231</v>
      </c>
      <c r="N57" s="81">
        <f t="shared" si="29"/>
        <v>0</v>
      </c>
      <c r="O57" s="82">
        <f t="shared" si="44"/>
        <v>0</v>
      </c>
      <c r="P57" s="71">
        <f t="shared" si="30"/>
        <v>4000</v>
      </c>
      <c r="Q57" s="103">
        <f t="shared" si="22"/>
        <v>0</v>
      </c>
      <c r="R57" s="72">
        <f t="shared" si="31"/>
        <v>1208.2882692307692</v>
      </c>
      <c r="S57" s="29">
        <f t="shared" si="23"/>
        <v>0.30207206730769232</v>
      </c>
      <c r="T57" s="62">
        <f t="shared" si="32"/>
        <v>0</v>
      </c>
      <c r="U57" s="90">
        <f t="shared" si="33"/>
        <v>3036.459230769231</v>
      </c>
      <c r="V57" s="62">
        <f t="shared" si="34"/>
        <v>0</v>
      </c>
      <c r="W57" s="94">
        <f t="shared" si="35"/>
        <v>0</v>
      </c>
      <c r="X57" s="154">
        <f t="shared" si="36"/>
        <v>-200.60249999999985</v>
      </c>
      <c r="Y57" s="154">
        <f t="shared" si="24"/>
        <v>-200.60249999999985</v>
      </c>
      <c r="Z57" s="1">
        <f>IF(OR(B57="",NOT($H57="")),"",ROUND(_xlfn.FORECAST.LINEAR($I57,INDEX(Z$3:Z$13,MATCH($I57,$Y$3:$Y$13,1)):INDEX(Z$3:Z$13,MATCH($I57,$Y$3:$Y$13,1)+1),INDEX($Y$3:$Y$13,MATCH($I57,$Y$3:$Y$13,1)):INDEX($Y$3:$Y$13,MATCH($I57,$Y$3:$Y$13,1)+1)),0))</f>
        <v>173</v>
      </c>
      <c r="AA57" s="39">
        <f>IF(OR(C57="",NOT($H57="")),"",ROUND(_xlfn.FORECAST.LINEAR($I57,INDEX(AA$3:AA$13,MATCH($I57,$Y$3:$Y$13,1)):INDEX(AA$3:AA$13,MATCH($I57,$Y$3:$Y$13,1)+1),INDEX($Y$3:$Y$13,MATCH($I57,$Y$3:$Y$13,1)):INDEX($Y$3:$Y$13,MATCH($I57,$Y$3:$Y$13,1)+1)),0))</f>
        <v>173</v>
      </c>
      <c r="AB57" s="38" t="str">
        <f>IF(OR(D57="",NOT($H57="")),"",ROUND(_xlfn.FORECAST.LINEAR($S57,INDEX(AB$3:AB$13,MATCH($S57,$Y$3:$Y$13,1)):INDEX(AB$3:AB$13,MATCH($S57,$Y$3:$Y$13,1)+1),INDEX($Y$3:$Y$13,MATCH($S57,$Y$3:$Y$13,1)):INDEX($Y$3:$Y$13,MATCH($S57,$Y$3:$Y$13,1)+1)),0))</f>
        <v/>
      </c>
      <c r="AC57" s="1" t="str">
        <f>IF(OR(E57="",NOT($H57="")),"",ROUND(_xlfn.FORECAST.LINEAR($S57,INDEX(AC$3:AC$13,MATCH($S57,$Y$3:$Y$13,1)):INDEX(AC$3:AC$13,MATCH($S57,$Y$3:$Y$13,1)+1),INDEX($Y$3:$Y$13,MATCH($S57,$Y$3:$Y$13,1)):INDEX($Y$3:$Y$13,MATCH($S57,$Y$3:$Y$13,1)+1)),0))</f>
        <v/>
      </c>
      <c r="AD57" s="1">
        <f>IF(OR(F57="",NOT($H57="")),"",ROUND(_xlfn.FORECAST.LINEAR($S57,INDEX(AD$3:AD$13,MATCH($S57,$Y$3:$Y$13,1)):INDEX(AD$3:AD$13,MATCH($S57,$Y$3:$Y$13,1)+1),INDEX($Y$3:$Y$13,MATCH($S57,$Y$3:$Y$13,1)):INDEX($Y$3:$Y$13,MATCH($S57,$Y$3:$Y$13,1)+1)),0))</f>
        <v>210</v>
      </c>
      <c r="AE57" s="47" t="str">
        <f>IF(OR(G57="",NOT($H57="")),"",ROUND(_xlfn.FORECAST.LINEAR($S57,INDEX(AE$3:AE$13,MATCH($S57,$Y$3:$Y$13,1)):INDEX(AE$3:AE$13,MATCH($S57,$Y$3:$Y$13,1)+1),INDEX($Y$3:$Y$13,MATCH($S57,$Y$3:$Y$13,1)):INDEX($Y$3:$Y$13,MATCH($S57,$Y$3:$Y$13,1)+1)),0))</f>
        <v/>
      </c>
      <c r="AF57" s="26">
        <f t="shared" si="37"/>
        <v>556</v>
      </c>
      <c r="AG57" s="9" t="str">
        <f t="shared" si="38"/>
        <v/>
      </c>
      <c r="AH57" s="11" t="str">
        <f t="shared" si="39"/>
        <v/>
      </c>
      <c r="AI57" s="9" t="str">
        <f t="shared" si="40"/>
        <v/>
      </c>
      <c r="AJ57" s="10" t="str">
        <f t="shared" si="41"/>
        <v/>
      </c>
      <c r="AK57" s="10" t="str">
        <f t="shared" si="42"/>
        <v/>
      </c>
      <c r="AL57" s="11" t="str">
        <f t="shared" si="43"/>
        <v/>
      </c>
      <c r="AM57" s="10"/>
      <c r="AN57" s="2"/>
    </row>
    <row r="58" spans="2:40" ht="16.5" thickTop="1" thickBot="1" x14ac:dyDescent="0.3">
      <c r="D58" s="1">
        <v>1</v>
      </c>
      <c r="E58" s="1">
        <v>1</v>
      </c>
      <c r="F58" s="1">
        <v>1</v>
      </c>
      <c r="G58" s="1">
        <v>1</v>
      </c>
      <c r="H58" s="28" t="str">
        <f t="shared" si="19"/>
        <v>Insufficient PTI</v>
      </c>
      <c r="I58" s="29">
        <f t="shared" si="25"/>
        <v>0.98173421875</v>
      </c>
      <c r="J58" s="75">
        <f t="shared" si="26"/>
        <v>16000</v>
      </c>
      <c r="K58" s="71">
        <f t="shared" si="27"/>
        <v>0</v>
      </c>
      <c r="L58" s="72">
        <f t="shared" si="28"/>
        <v>0</v>
      </c>
      <c r="M58" s="80">
        <f t="shared" si="20"/>
        <v>11463</v>
      </c>
      <c r="N58" s="81">
        <f t="shared" si="29"/>
        <v>3250</v>
      </c>
      <c r="O58" s="82">
        <f t="shared" si="44"/>
        <v>5536.15</v>
      </c>
      <c r="P58" s="71">
        <f t="shared" si="30"/>
        <v>16000</v>
      </c>
      <c r="Q58" s="103">
        <f t="shared" si="22"/>
        <v>573.15</v>
      </c>
      <c r="R58" s="72">
        <f t="shared" si="31"/>
        <v>16280.897499999999</v>
      </c>
      <c r="S58" s="29">
        <f t="shared" si="23"/>
        <v>1.0175560937499999</v>
      </c>
      <c r="T58" s="62">
        <f t="shared" si="32"/>
        <v>3250</v>
      </c>
      <c r="U58" s="90">
        <f t="shared" si="33"/>
        <v>0</v>
      </c>
      <c r="V58" s="62">
        <f t="shared" si="34"/>
        <v>3250</v>
      </c>
      <c r="W58" s="94">
        <f t="shared" si="35"/>
        <v>0</v>
      </c>
      <c r="X58" s="154">
        <f t="shared" si="36"/>
        <v>-200.60249999999985</v>
      </c>
      <c r="Y58" s="154">
        <f t="shared" si="24"/>
        <v>-200.60249999999985</v>
      </c>
      <c r="Z58" s="1" t="str">
        <f>IF(OR(B58="",NOT($H58="")),"",ROUND(_xlfn.FORECAST.LINEAR($I58,INDEX(Z$3:Z$13,MATCH($I58,$Y$3:$Y$13,1)):INDEX(Z$3:Z$13,MATCH($I58,$Y$3:$Y$13,1)+1),INDEX($Y$3:$Y$13,MATCH($I58,$Y$3:$Y$13,1)):INDEX($Y$3:$Y$13,MATCH($I58,$Y$3:$Y$13,1)+1)),0))</f>
        <v/>
      </c>
      <c r="AA58" s="39" t="str">
        <f>IF(OR(C58="",NOT($H58="")),"",ROUND(_xlfn.FORECAST.LINEAR($I58,INDEX(AA$3:AA$13,MATCH($I58,$Y$3:$Y$13,1)):INDEX(AA$3:AA$13,MATCH($I58,$Y$3:$Y$13,1)+1),INDEX($Y$3:$Y$13,MATCH($I58,$Y$3:$Y$13,1)):INDEX($Y$3:$Y$13,MATCH($I58,$Y$3:$Y$13,1)+1)),0))</f>
        <v/>
      </c>
      <c r="AB58" s="38" t="str">
        <f>IF(OR(D58="",NOT($H58="")),"",ROUND(_xlfn.FORECAST.LINEAR($S58,INDEX(AB$3:AB$13,MATCH($S58,$Y$3:$Y$13,1)):INDEX(AB$3:AB$13,MATCH($S58,$Y$3:$Y$13,1)+1),INDEX($Y$3:$Y$13,MATCH($S58,$Y$3:$Y$13,1)):INDEX($Y$3:$Y$13,MATCH($S58,$Y$3:$Y$13,1)+1)),0))</f>
        <v/>
      </c>
      <c r="AC58" s="1" t="str">
        <f>IF(OR(E58="",NOT($H58="")),"",ROUND(_xlfn.FORECAST.LINEAR($S58,INDEX(AC$3:AC$13,MATCH($S58,$Y$3:$Y$13,1)):INDEX(AC$3:AC$13,MATCH($S58,$Y$3:$Y$13,1)+1),INDEX($Y$3:$Y$13,MATCH($S58,$Y$3:$Y$13,1)):INDEX($Y$3:$Y$13,MATCH($S58,$Y$3:$Y$13,1)+1)),0))</f>
        <v/>
      </c>
      <c r="AD58" s="1" t="str">
        <f>IF(OR(F58="",NOT($H58="")),"",ROUND(_xlfn.FORECAST.LINEAR($S58,INDEX(AD$3:AD$13,MATCH($S58,$Y$3:$Y$13,1)):INDEX(AD$3:AD$13,MATCH($S58,$Y$3:$Y$13,1)+1),INDEX($Y$3:$Y$13,MATCH($S58,$Y$3:$Y$13,1)):INDEX($Y$3:$Y$13,MATCH($S58,$Y$3:$Y$13,1)+1)),0))</f>
        <v/>
      </c>
      <c r="AE58" s="47" t="str">
        <f>IF(OR(G58="",NOT($H58="")),"",ROUND(_xlfn.FORECAST.LINEAR($S58,INDEX(AE$3:AE$13,MATCH($S58,$Y$3:$Y$13,1)):INDEX(AE$3:AE$13,MATCH($S58,$Y$3:$Y$13,1)+1),INDEX($Y$3:$Y$13,MATCH($S58,$Y$3:$Y$13,1)):INDEX($Y$3:$Y$13,MATCH($S58,$Y$3:$Y$13,1)+1)),0))</f>
        <v/>
      </c>
      <c r="AF58" s="26" t="str">
        <f t="shared" si="37"/>
        <v/>
      </c>
      <c r="AG58" s="9" t="str">
        <f t="shared" si="38"/>
        <v/>
      </c>
      <c r="AH58" s="11" t="str">
        <f t="shared" si="39"/>
        <v/>
      </c>
      <c r="AI58" s="9" t="str">
        <f t="shared" si="40"/>
        <v/>
      </c>
      <c r="AJ58" s="10" t="str">
        <f t="shared" si="41"/>
        <v/>
      </c>
      <c r="AK58" s="10" t="str">
        <f t="shared" si="42"/>
        <v/>
      </c>
      <c r="AL58" s="11" t="str">
        <f t="shared" si="43"/>
        <v/>
      </c>
    </row>
    <row r="59" spans="2:40" ht="16.5" thickTop="1" thickBot="1" x14ac:dyDescent="0.3">
      <c r="B59" s="1">
        <v>1</v>
      </c>
      <c r="D59" s="1">
        <v>1</v>
      </c>
      <c r="E59" s="1">
        <v>1</v>
      </c>
      <c r="F59" s="1">
        <v>1</v>
      </c>
      <c r="H59" s="28" t="str">
        <f t="shared" si="19"/>
        <v/>
      </c>
      <c r="I59" s="29">
        <f t="shared" si="25"/>
        <v>0.43632631944444444</v>
      </c>
      <c r="J59" s="75">
        <f t="shared" si="26"/>
        <v>36000</v>
      </c>
      <c r="K59" s="71">
        <f t="shared" si="27"/>
        <v>24000</v>
      </c>
      <c r="L59" s="72">
        <f t="shared" si="28"/>
        <v>10471.831666666667</v>
      </c>
      <c r="M59" s="80">
        <f t="shared" si="20"/>
        <v>991.16833333333307</v>
      </c>
      <c r="N59" s="81">
        <f t="shared" si="29"/>
        <v>0</v>
      </c>
      <c r="O59" s="82">
        <f t="shared" si="44"/>
        <v>49.558416666666744</v>
      </c>
      <c r="P59" s="71">
        <f t="shared" si="30"/>
        <v>12000</v>
      </c>
      <c r="Q59" s="103">
        <f t="shared" si="22"/>
        <v>49.558416666666659</v>
      </c>
      <c r="R59" s="72">
        <f t="shared" si="31"/>
        <v>5285.4742500000002</v>
      </c>
      <c r="S59" s="29">
        <f t="shared" si="23"/>
        <v>0.44045618750000004</v>
      </c>
      <c r="T59" s="62">
        <f t="shared" si="32"/>
        <v>49.558416666666744</v>
      </c>
      <c r="U59" s="90">
        <f t="shared" si="33"/>
        <v>0</v>
      </c>
      <c r="V59" s="62">
        <f t="shared" si="34"/>
        <v>991.16833333333307</v>
      </c>
      <c r="W59" s="94">
        <f t="shared" si="35"/>
        <v>0</v>
      </c>
      <c r="X59" s="154">
        <f t="shared" si="36"/>
        <v>-200.60249999999985</v>
      </c>
      <c r="Y59" s="154">
        <f t="shared" si="24"/>
        <v>-200.60249999999985</v>
      </c>
      <c r="Z59" s="1">
        <f>IF(OR(B59="",NOT($H59="")),"",ROUND(_xlfn.FORECAST.LINEAR($I59,INDEX(Z$3:Z$13,MATCH($I59,$Y$3:$Y$13,1)):INDEX(Z$3:Z$13,MATCH($I59,$Y$3:$Y$13,1)+1),INDEX($Y$3:$Y$13,MATCH($I59,$Y$3:$Y$13,1)):INDEX($Y$3:$Y$13,MATCH($I59,$Y$3:$Y$13,1)+1)),0))</f>
        <v>169</v>
      </c>
      <c r="AA59" s="39" t="str">
        <f>IF(OR(C59="",NOT($H59="")),"",ROUND(_xlfn.FORECAST.LINEAR($I59,INDEX(AA$3:AA$13,MATCH($I59,$Y$3:$Y$13,1)):INDEX(AA$3:AA$13,MATCH($I59,$Y$3:$Y$13,1)+1),INDEX($Y$3:$Y$13,MATCH($I59,$Y$3:$Y$13,1)):INDEX($Y$3:$Y$13,MATCH($I59,$Y$3:$Y$13,1)+1)),0))</f>
        <v/>
      </c>
      <c r="AB59" s="38">
        <f>IF(OR(D59="",NOT($H59="")),"",ROUND(_xlfn.FORECAST.LINEAR($S59,INDEX(AB$3:AB$13,MATCH($S59,$Y$3:$Y$13,1)):INDEX(AB$3:AB$13,MATCH($S59,$Y$3:$Y$13,1)+1),INDEX($Y$3:$Y$13,MATCH($S59,$Y$3:$Y$13,1)):INDEX($Y$3:$Y$13,MATCH($S59,$Y$3:$Y$13,1)+1)),0))</f>
        <v>198</v>
      </c>
      <c r="AC59" s="1">
        <f>IF(OR(E59="",NOT($H59="")),"",ROUND(_xlfn.FORECAST.LINEAR($S59,INDEX(AC$3:AC$13,MATCH($S59,$Y$3:$Y$13,1)):INDEX(AC$3:AC$13,MATCH($S59,$Y$3:$Y$13,1)+1),INDEX($Y$3:$Y$13,MATCH($S59,$Y$3:$Y$13,1)):INDEX($Y$3:$Y$13,MATCH($S59,$Y$3:$Y$13,1)+1)),0))</f>
        <v>198</v>
      </c>
      <c r="AD59" s="1">
        <f>IF(OR(F59="",NOT($H59="")),"",ROUND(_xlfn.FORECAST.LINEAR($S59,INDEX(AD$3:AD$13,MATCH($S59,$Y$3:$Y$13,1)):INDEX(AD$3:AD$13,MATCH($S59,$Y$3:$Y$13,1)+1),INDEX($Y$3:$Y$13,MATCH($S59,$Y$3:$Y$13,1)):INDEX($Y$3:$Y$13,MATCH($S59,$Y$3:$Y$13,1)+1)),0))</f>
        <v>190</v>
      </c>
      <c r="AE59" s="47" t="str">
        <f>IF(OR(G59="",NOT($H59="")),"",ROUND(_xlfn.FORECAST.LINEAR($S59,INDEX(AE$3:AE$13,MATCH($S59,$Y$3:$Y$13,1)):INDEX(AE$3:AE$13,MATCH($S59,$Y$3:$Y$13,1)+1),INDEX($Y$3:$Y$13,MATCH($S59,$Y$3:$Y$13,1)):INDEX($Y$3:$Y$13,MATCH($S59,$Y$3:$Y$13,1)+1)),0))</f>
        <v/>
      </c>
      <c r="AF59" s="26">
        <f t="shared" si="37"/>
        <v>755</v>
      </c>
      <c r="AG59" s="9" t="str">
        <f t="shared" si="38"/>
        <v/>
      </c>
      <c r="AH59" s="11" t="str">
        <f t="shared" si="39"/>
        <v/>
      </c>
      <c r="AI59" s="9" t="str">
        <f t="shared" si="40"/>
        <v/>
      </c>
      <c r="AJ59" s="10" t="str">
        <f t="shared" si="41"/>
        <v/>
      </c>
      <c r="AK59" s="10" t="str">
        <f t="shared" si="42"/>
        <v/>
      </c>
      <c r="AL59" s="11" t="str">
        <f t="shared" si="43"/>
        <v/>
      </c>
      <c r="AM59" s="10">
        <f>(Z59*L59)/1000+(AB59*R59/3)/1000+(AC59*R59/3)/1000+(AD59*R59/3)/1000</f>
        <v>2802.1688551666671</v>
      </c>
      <c r="AN59" s="2">
        <f>AM59*3.206</f>
        <v>8983.7533496643337</v>
      </c>
    </row>
    <row r="60" spans="2:40" ht="16.5" thickTop="1" thickBot="1" x14ac:dyDescent="0.3">
      <c r="B60" s="1">
        <v>1</v>
      </c>
      <c r="D60" s="1">
        <v>1</v>
      </c>
      <c r="E60" s="1">
        <v>1</v>
      </c>
      <c r="G60" s="1">
        <v>1</v>
      </c>
      <c r="H60" s="28" t="str">
        <f t="shared" si="19"/>
        <v/>
      </c>
      <c r="I60" s="29">
        <f t="shared" si="25"/>
        <v>0.43632631944444444</v>
      </c>
      <c r="J60" s="75">
        <f t="shared" si="26"/>
        <v>36000</v>
      </c>
      <c r="K60" s="71">
        <f t="shared" si="27"/>
        <v>24000</v>
      </c>
      <c r="L60" s="72">
        <f t="shared" si="28"/>
        <v>10471.831666666667</v>
      </c>
      <c r="M60" s="80">
        <f t="shared" si="20"/>
        <v>991.16833333333307</v>
      </c>
      <c r="N60" s="81">
        <f t="shared" si="29"/>
        <v>0</v>
      </c>
      <c r="O60" s="82">
        <f t="shared" si="44"/>
        <v>49.558416666666744</v>
      </c>
      <c r="P60" s="71">
        <f t="shared" si="30"/>
        <v>12000</v>
      </c>
      <c r="Q60" s="103">
        <f t="shared" si="22"/>
        <v>49.558416666666659</v>
      </c>
      <c r="R60" s="72">
        <f t="shared" si="31"/>
        <v>5285.4742500000002</v>
      </c>
      <c r="S60" s="29">
        <f t="shared" si="23"/>
        <v>0.44045618750000004</v>
      </c>
      <c r="T60" s="62">
        <f t="shared" si="32"/>
        <v>49.558416666666744</v>
      </c>
      <c r="U60" s="90">
        <f t="shared" si="33"/>
        <v>0</v>
      </c>
      <c r="V60" s="62">
        <f t="shared" si="34"/>
        <v>991.16833333333307</v>
      </c>
      <c r="W60" s="94">
        <f t="shared" si="35"/>
        <v>0</v>
      </c>
      <c r="X60" s="154">
        <f t="shared" si="36"/>
        <v>-200.60249999999985</v>
      </c>
      <c r="Y60" s="154">
        <f t="shared" si="24"/>
        <v>-200.60249999999985</v>
      </c>
      <c r="Z60" s="1">
        <f>IF(OR(B60="",NOT($H60="")),"",ROUND(_xlfn.FORECAST.LINEAR($I60,INDEX(Z$3:Z$13,MATCH($I60,$Y$3:$Y$13,1)):INDEX(Z$3:Z$13,MATCH($I60,$Y$3:$Y$13,1)+1),INDEX($Y$3:$Y$13,MATCH($I60,$Y$3:$Y$13,1)):INDEX($Y$3:$Y$13,MATCH($I60,$Y$3:$Y$13,1)+1)),0))</f>
        <v>169</v>
      </c>
      <c r="AA60" s="39" t="str">
        <f>IF(OR(C60="",NOT($H60="")),"",ROUND(_xlfn.FORECAST.LINEAR($I60,INDEX(AA$3:AA$13,MATCH($I60,$Y$3:$Y$13,1)):INDEX(AA$3:AA$13,MATCH($I60,$Y$3:$Y$13,1)+1),INDEX($Y$3:$Y$13,MATCH($I60,$Y$3:$Y$13,1)):INDEX($Y$3:$Y$13,MATCH($I60,$Y$3:$Y$13,1)+1)),0))</f>
        <v/>
      </c>
      <c r="AB60" s="38">
        <f>IF(OR(D60="",NOT($H60="")),"",ROUND(_xlfn.FORECAST.LINEAR($S60,INDEX(AB$3:AB$13,MATCH($S60,$Y$3:$Y$13,1)):INDEX(AB$3:AB$13,MATCH($S60,$Y$3:$Y$13,1)+1),INDEX($Y$3:$Y$13,MATCH($S60,$Y$3:$Y$13,1)):INDEX($Y$3:$Y$13,MATCH($S60,$Y$3:$Y$13,1)+1)),0))</f>
        <v>198</v>
      </c>
      <c r="AC60" s="1">
        <f>IF(OR(E60="",NOT($H60="")),"",ROUND(_xlfn.FORECAST.LINEAR($S60,INDEX(AC$3:AC$13,MATCH($S60,$Y$3:$Y$13,1)):INDEX(AC$3:AC$13,MATCH($S60,$Y$3:$Y$13,1)+1),INDEX($Y$3:$Y$13,MATCH($S60,$Y$3:$Y$13,1)):INDEX($Y$3:$Y$13,MATCH($S60,$Y$3:$Y$13,1)+1)),0))</f>
        <v>198</v>
      </c>
      <c r="AD60" s="1" t="str">
        <f>IF(OR(F60="",NOT($H60="")),"",ROUND(_xlfn.FORECAST.LINEAR($S60,INDEX(AD$3:AD$13,MATCH($S60,$Y$3:$Y$13,1)):INDEX(AD$3:AD$13,MATCH($S60,$Y$3:$Y$13,1)+1),INDEX($Y$3:$Y$13,MATCH($S60,$Y$3:$Y$13,1)):INDEX($Y$3:$Y$13,MATCH($S60,$Y$3:$Y$13,1)+1)),0))</f>
        <v/>
      </c>
      <c r="AE60" s="47">
        <f>IF(OR(G60="",NOT($H60="")),"",ROUND(_xlfn.FORECAST.LINEAR($S60,INDEX(AE$3:AE$13,MATCH($S60,$Y$3:$Y$13,1)):INDEX(AE$3:AE$13,MATCH($S60,$Y$3:$Y$13,1)+1),INDEX($Y$3:$Y$13,MATCH($S60,$Y$3:$Y$13,1)):INDEX($Y$3:$Y$13,MATCH($S60,$Y$3:$Y$13,1)+1)),0))</f>
        <v>218</v>
      </c>
      <c r="AF60" s="26">
        <f t="shared" si="37"/>
        <v>783</v>
      </c>
      <c r="AG60" s="9" t="str">
        <f t="shared" si="38"/>
        <v/>
      </c>
      <c r="AH60" s="11" t="str">
        <f t="shared" si="39"/>
        <v/>
      </c>
      <c r="AI60" s="9" t="str">
        <f t="shared" si="40"/>
        <v/>
      </c>
      <c r="AJ60" s="10" t="str">
        <f t="shared" si="41"/>
        <v/>
      </c>
      <c r="AK60" s="10" t="str">
        <f t="shared" si="42"/>
        <v/>
      </c>
      <c r="AL60" s="11" t="str">
        <f t="shared" si="43"/>
        <v/>
      </c>
    </row>
    <row r="61" spans="2:40" ht="16.5" thickTop="1" thickBot="1" x14ac:dyDescent="0.3">
      <c r="B61" s="1">
        <v>1</v>
      </c>
      <c r="E61" s="1">
        <v>1</v>
      </c>
      <c r="F61" s="1">
        <v>1</v>
      </c>
      <c r="G61" s="1">
        <v>1</v>
      </c>
      <c r="H61" s="28" t="str">
        <f t="shared" si="19"/>
        <v/>
      </c>
      <c r="I61" s="29">
        <f t="shared" si="25"/>
        <v>0.43632631944444444</v>
      </c>
      <c r="J61" s="75">
        <f t="shared" si="26"/>
        <v>36000</v>
      </c>
      <c r="K61" s="71">
        <f t="shared" si="27"/>
        <v>24000</v>
      </c>
      <c r="L61" s="72">
        <f t="shared" si="28"/>
        <v>10471.831666666667</v>
      </c>
      <c r="M61" s="80">
        <f t="shared" si="20"/>
        <v>991.16833333333307</v>
      </c>
      <c r="N61" s="81">
        <f t="shared" si="29"/>
        <v>0</v>
      </c>
      <c r="O61" s="82">
        <f t="shared" si="44"/>
        <v>49.558416666666744</v>
      </c>
      <c r="P61" s="71">
        <f t="shared" si="30"/>
        <v>12000</v>
      </c>
      <c r="Q61" s="103">
        <f t="shared" si="22"/>
        <v>49.558416666666659</v>
      </c>
      <c r="R61" s="72">
        <f t="shared" si="31"/>
        <v>5285.4742500000002</v>
      </c>
      <c r="S61" s="29">
        <f t="shared" si="23"/>
        <v>0.44045618750000004</v>
      </c>
      <c r="T61" s="62">
        <f t="shared" si="32"/>
        <v>49.558416666666744</v>
      </c>
      <c r="U61" s="90">
        <f t="shared" si="33"/>
        <v>0</v>
      </c>
      <c r="V61" s="62">
        <f t="shared" si="34"/>
        <v>991.16833333333307</v>
      </c>
      <c r="W61" s="94">
        <f t="shared" si="35"/>
        <v>0</v>
      </c>
      <c r="X61" s="154">
        <f t="shared" si="36"/>
        <v>-200.60249999999985</v>
      </c>
      <c r="Y61" s="154">
        <f t="shared" si="24"/>
        <v>-200.60249999999985</v>
      </c>
      <c r="Z61" s="1">
        <f>IF(OR(B61="",NOT($H61="")),"",ROUND(_xlfn.FORECAST.LINEAR($I61,INDEX(Z$3:Z$13,MATCH($I61,$Y$3:$Y$13,1)):INDEX(Z$3:Z$13,MATCH($I61,$Y$3:$Y$13,1)+1),INDEX($Y$3:$Y$13,MATCH($I61,$Y$3:$Y$13,1)):INDEX($Y$3:$Y$13,MATCH($I61,$Y$3:$Y$13,1)+1)),0))</f>
        <v>169</v>
      </c>
      <c r="AA61" s="39" t="str">
        <f>IF(OR(C61="",NOT($H61="")),"",ROUND(_xlfn.FORECAST.LINEAR($I61,INDEX(AA$3:AA$13,MATCH($I61,$Y$3:$Y$13,1)):INDEX(AA$3:AA$13,MATCH($I61,$Y$3:$Y$13,1)+1),INDEX($Y$3:$Y$13,MATCH($I61,$Y$3:$Y$13,1)):INDEX($Y$3:$Y$13,MATCH($I61,$Y$3:$Y$13,1)+1)),0))</f>
        <v/>
      </c>
      <c r="AB61" s="38" t="str">
        <f>IF(OR(D61="",NOT($H61="")),"",ROUND(_xlfn.FORECAST.LINEAR($S61,INDEX(AB$3:AB$13,MATCH($S61,$Y$3:$Y$13,1)):INDEX(AB$3:AB$13,MATCH($S61,$Y$3:$Y$13,1)+1),INDEX($Y$3:$Y$13,MATCH($S61,$Y$3:$Y$13,1)):INDEX($Y$3:$Y$13,MATCH($S61,$Y$3:$Y$13,1)+1)),0))</f>
        <v/>
      </c>
      <c r="AC61" s="1">
        <f>IF(OR(E61="",NOT($H61="")),"",ROUND(_xlfn.FORECAST.LINEAR($S61,INDEX(AC$3:AC$13,MATCH($S61,$Y$3:$Y$13,1)):INDEX(AC$3:AC$13,MATCH($S61,$Y$3:$Y$13,1)+1),INDEX($Y$3:$Y$13,MATCH($S61,$Y$3:$Y$13,1)):INDEX($Y$3:$Y$13,MATCH($S61,$Y$3:$Y$13,1)+1)),0))</f>
        <v>198</v>
      </c>
      <c r="AD61" s="1">
        <f>IF(OR(F61="",NOT($H61="")),"",ROUND(_xlfn.FORECAST.LINEAR($S61,INDEX(AD$3:AD$13,MATCH($S61,$Y$3:$Y$13,1)):INDEX(AD$3:AD$13,MATCH($S61,$Y$3:$Y$13,1)+1),INDEX($Y$3:$Y$13,MATCH($S61,$Y$3:$Y$13,1)):INDEX($Y$3:$Y$13,MATCH($S61,$Y$3:$Y$13,1)+1)),0))</f>
        <v>190</v>
      </c>
      <c r="AE61" s="47">
        <f>IF(OR(G61="",NOT($H61="")),"",ROUND(_xlfn.FORECAST.LINEAR($S61,INDEX(AE$3:AE$13,MATCH($S61,$Y$3:$Y$13,1)):INDEX(AE$3:AE$13,MATCH($S61,$Y$3:$Y$13,1)+1),INDEX($Y$3:$Y$13,MATCH($S61,$Y$3:$Y$13,1)):INDEX($Y$3:$Y$13,MATCH($S61,$Y$3:$Y$13,1)+1)),0))</f>
        <v>218</v>
      </c>
      <c r="AF61" s="26">
        <f t="shared" si="37"/>
        <v>775</v>
      </c>
      <c r="AG61" s="9" t="str">
        <f t="shared" si="38"/>
        <v/>
      </c>
      <c r="AH61" s="11" t="str">
        <f t="shared" si="39"/>
        <v/>
      </c>
      <c r="AI61" s="9" t="str">
        <f t="shared" si="40"/>
        <v/>
      </c>
      <c r="AJ61" s="10" t="str">
        <f t="shared" si="41"/>
        <v/>
      </c>
      <c r="AK61" s="10" t="str">
        <f t="shared" si="42"/>
        <v/>
      </c>
      <c r="AL61" s="11" t="str">
        <f t="shared" si="43"/>
        <v/>
      </c>
    </row>
    <row r="62" spans="2:40" ht="16.5" thickTop="1" thickBot="1" x14ac:dyDescent="0.3">
      <c r="C62" s="1">
        <v>1</v>
      </c>
      <c r="D62" s="1">
        <v>1</v>
      </c>
      <c r="E62" s="1">
        <v>1</v>
      </c>
      <c r="F62" s="1">
        <v>1</v>
      </c>
      <c r="H62" s="28" t="str">
        <f t="shared" si="19"/>
        <v/>
      </c>
      <c r="I62" s="29">
        <f t="shared" si="25"/>
        <v>0.43632631944444444</v>
      </c>
      <c r="J62" s="75">
        <f t="shared" si="26"/>
        <v>36000</v>
      </c>
      <c r="K62" s="71">
        <f t="shared" si="27"/>
        <v>24000</v>
      </c>
      <c r="L62" s="72">
        <f t="shared" si="28"/>
        <v>10471.831666666667</v>
      </c>
      <c r="M62" s="80">
        <f t="shared" si="20"/>
        <v>991.16833333333307</v>
      </c>
      <c r="N62" s="81">
        <f t="shared" si="29"/>
        <v>991.16833333333307</v>
      </c>
      <c r="O62" s="82">
        <f t="shared" si="44"/>
        <v>49.558416666666744</v>
      </c>
      <c r="P62" s="71">
        <f t="shared" si="30"/>
        <v>12000</v>
      </c>
      <c r="Q62" s="103">
        <f t="shared" si="22"/>
        <v>49.558416666666659</v>
      </c>
      <c r="R62" s="72">
        <f t="shared" si="31"/>
        <v>5285.4742500000002</v>
      </c>
      <c r="S62" s="29">
        <f t="shared" si="23"/>
        <v>0.44045618750000004</v>
      </c>
      <c r="T62" s="62">
        <f t="shared" si="32"/>
        <v>1040.7267499999998</v>
      </c>
      <c r="U62" s="90">
        <f t="shared" si="33"/>
        <v>0</v>
      </c>
      <c r="V62" s="62">
        <f t="shared" si="34"/>
        <v>0</v>
      </c>
      <c r="W62" s="94">
        <f t="shared" si="35"/>
        <v>0</v>
      </c>
      <c r="X62" s="154">
        <f t="shared" si="36"/>
        <v>-200.60249999999985</v>
      </c>
      <c r="Y62" s="154">
        <f t="shared" si="24"/>
        <v>-200.60249999999985</v>
      </c>
      <c r="Z62" s="1" t="str">
        <f>IF(OR(B62="",NOT($H62="")),"",ROUND(_xlfn.FORECAST.LINEAR($I62,INDEX(Z$3:Z$13,MATCH($I62,$Y$3:$Y$13,1)):INDEX(Z$3:Z$13,MATCH($I62,$Y$3:$Y$13,1)+1),INDEX($Y$3:$Y$13,MATCH($I62,$Y$3:$Y$13,1)):INDEX($Y$3:$Y$13,MATCH($I62,$Y$3:$Y$13,1)+1)),0))</f>
        <v/>
      </c>
      <c r="AA62" s="39">
        <f>IF(OR(C62="",NOT($H62="")),"",ROUND(_xlfn.FORECAST.LINEAR($I62,INDEX(AA$3:AA$13,MATCH($I62,$Y$3:$Y$13,1)):INDEX(AA$3:AA$13,MATCH($I62,$Y$3:$Y$13,1)+1),INDEX($Y$3:$Y$13,MATCH($I62,$Y$3:$Y$13,1)):INDEX($Y$3:$Y$13,MATCH($I62,$Y$3:$Y$13,1)+1)),0))</f>
        <v>169</v>
      </c>
      <c r="AB62" s="38">
        <f>IF(OR(D62="",NOT($H62="")),"",ROUND(_xlfn.FORECAST.LINEAR($S62,INDEX(AB$3:AB$13,MATCH($S62,$Y$3:$Y$13,1)):INDEX(AB$3:AB$13,MATCH($S62,$Y$3:$Y$13,1)+1),INDEX($Y$3:$Y$13,MATCH($S62,$Y$3:$Y$13,1)):INDEX($Y$3:$Y$13,MATCH($S62,$Y$3:$Y$13,1)+1)),0))</f>
        <v>198</v>
      </c>
      <c r="AC62" s="1">
        <f>IF(OR(E62="",NOT($H62="")),"",ROUND(_xlfn.FORECAST.LINEAR($S62,INDEX(AC$3:AC$13,MATCH($S62,$Y$3:$Y$13,1)):INDEX(AC$3:AC$13,MATCH($S62,$Y$3:$Y$13,1)+1),INDEX($Y$3:$Y$13,MATCH($S62,$Y$3:$Y$13,1)):INDEX($Y$3:$Y$13,MATCH($S62,$Y$3:$Y$13,1)+1)),0))</f>
        <v>198</v>
      </c>
      <c r="AD62" s="1">
        <f>IF(OR(F62="",NOT($H62="")),"",ROUND(_xlfn.FORECAST.LINEAR($S62,INDEX(AD$3:AD$13,MATCH($S62,$Y$3:$Y$13,1)):INDEX(AD$3:AD$13,MATCH($S62,$Y$3:$Y$13,1)+1),INDEX($Y$3:$Y$13,MATCH($S62,$Y$3:$Y$13,1)):INDEX($Y$3:$Y$13,MATCH($S62,$Y$3:$Y$13,1)+1)),0))</f>
        <v>190</v>
      </c>
      <c r="AE62" s="47" t="str">
        <f>IF(OR(G62="",NOT($H62="")),"",ROUND(_xlfn.FORECAST.LINEAR($S62,INDEX(AE$3:AE$13,MATCH($S62,$Y$3:$Y$13,1)):INDEX(AE$3:AE$13,MATCH($S62,$Y$3:$Y$13,1)+1),INDEX($Y$3:$Y$13,MATCH($S62,$Y$3:$Y$13,1)):INDEX($Y$3:$Y$13,MATCH($S62,$Y$3:$Y$13,1)+1)),0))</f>
        <v/>
      </c>
      <c r="AF62" s="26">
        <f t="shared" si="37"/>
        <v>755</v>
      </c>
      <c r="AG62" s="9" t="str">
        <f t="shared" si="38"/>
        <v/>
      </c>
      <c r="AH62" s="11" t="str">
        <f t="shared" si="39"/>
        <v/>
      </c>
      <c r="AI62" s="9" t="str">
        <f t="shared" si="40"/>
        <v/>
      </c>
      <c r="AJ62" s="10" t="str">
        <f t="shared" si="41"/>
        <v/>
      </c>
      <c r="AK62" s="10" t="str">
        <f t="shared" si="42"/>
        <v/>
      </c>
      <c r="AL62" s="11" t="str">
        <f t="shared" si="43"/>
        <v/>
      </c>
    </row>
    <row r="63" spans="2:40" ht="16.5" thickTop="1" thickBot="1" x14ac:dyDescent="0.3">
      <c r="C63" s="1">
        <v>1</v>
      </c>
      <c r="D63" s="1">
        <v>1</v>
      </c>
      <c r="E63" s="1">
        <v>1</v>
      </c>
      <c r="G63" s="1">
        <v>1</v>
      </c>
      <c r="H63" s="28" t="str">
        <f t="shared" si="19"/>
        <v/>
      </c>
      <c r="I63" s="29">
        <f t="shared" si="25"/>
        <v>0.43632631944444444</v>
      </c>
      <c r="J63" s="75">
        <f t="shared" si="26"/>
        <v>36000</v>
      </c>
      <c r="K63" s="71">
        <f t="shared" si="27"/>
        <v>24000</v>
      </c>
      <c r="L63" s="72">
        <f t="shared" si="28"/>
        <v>10471.831666666667</v>
      </c>
      <c r="M63" s="80">
        <f t="shared" si="20"/>
        <v>991.16833333333307</v>
      </c>
      <c r="N63" s="81">
        <f t="shared" si="29"/>
        <v>991.16833333333307</v>
      </c>
      <c r="O63" s="82">
        <f t="shared" si="44"/>
        <v>49.558416666666744</v>
      </c>
      <c r="P63" s="71">
        <f t="shared" si="30"/>
        <v>12000</v>
      </c>
      <c r="Q63" s="103">
        <f t="shared" si="22"/>
        <v>49.558416666666659</v>
      </c>
      <c r="R63" s="72">
        <f t="shared" si="31"/>
        <v>5285.4742500000002</v>
      </c>
      <c r="S63" s="29">
        <f t="shared" si="23"/>
        <v>0.44045618750000004</v>
      </c>
      <c r="T63" s="62">
        <f t="shared" si="32"/>
        <v>1040.7267499999998</v>
      </c>
      <c r="U63" s="90">
        <f t="shared" si="33"/>
        <v>0</v>
      </c>
      <c r="V63" s="62">
        <f t="shared" si="34"/>
        <v>0</v>
      </c>
      <c r="W63" s="94">
        <f t="shared" si="35"/>
        <v>0</v>
      </c>
      <c r="X63" s="154">
        <f t="shared" si="36"/>
        <v>-200.60249999999985</v>
      </c>
      <c r="Y63" s="154">
        <f t="shared" si="24"/>
        <v>-200.60249999999985</v>
      </c>
      <c r="Z63" s="1" t="str">
        <f>IF(OR(B63="",NOT($H63="")),"",ROUND(_xlfn.FORECAST.LINEAR($I63,INDEX(Z$3:Z$13,MATCH($I63,$Y$3:$Y$13,1)):INDEX(Z$3:Z$13,MATCH($I63,$Y$3:$Y$13,1)+1),INDEX($Y$3:$Y$13,MATCH($I63,$Y$3:$Y$13,1)):INDEX($Y$3:$Y$13,MATCH($I63,$Y$3:$Y$13,1)+1)),0))</f>
        <v/>
      </c>
      <c r="AA63" s="39">
        <f>IF(OR(C63="",NOT($H63="")),"",ROUND(_xlfn.FORECAST.LINEAR($I63,INDEX(AA$3:AA$13,MATCH($I63,$Y$3:$Y$13,1)):INDEX(AA$3:AA$13,MATCH($I63,$Y$3:$Y$13,1)+1),INDEX($Y$3:$Y$13,MATCH($I63,$Y$3:$Y$13,1)):INDEX($Y$3:$Y$13,MATCH($I63,$Y$3:$Y$13,1)+1)),0))</f>
        <v>169</v>
      </c>
      <c r="AB63" s="38">
        <f>IF(OR(D63="",NOT($H63="")),"",ROUND(_xlfn.FORECAST.LINEAR($S63,INDEX(AB$3:AB$13,MATCH($S63,$Y$3:$Y$13,1)):INDEX(AB$3:AB$13,MATCH($S63,$Y$3:$Y$13,1)+1),INDEX($Y$3:$Y$13,MATCH($S63,$Y$3:$Y$13,1)):INDEX($Y$3:$Y$13,MATCH($S63,$Y$3:$Y$13,1)+1)),0))</f>
        <v>198</v>
      </c>
      <c r="AC63" s="1">
        <f>IF(OR(E63="",NOT($H63="")),"",ROUND(_xlfn.FORECAST.LINEAR($S63,INDEX(AC$3:AC$13,MATCH($S63,$Y$3:$Y$13,1)):INDEX(AC$3:AC$13,MATCH($S63,$Y$3:$Y$13,1)+1),INDEX($Y$3:$Y$13,MATCH($S63,$Y$3:$Y$13,1)):INDEX($Y$3:$Y$13,MATCH($S63,$Y$3:$Y$13,1)+1)),0))</f>
        <v>198</v>
      </c>
      <c r="AD63" s="1" t="str">
        <f>IF(OR(F63="",NOT($H63="")),"",ROUND(_xlfn.FORECAST.LINEAR($S63,INDEX(AD$3:AD$13,MATCH($S63,$Y$3:$Y$13,1)):INDEX(AD$3:AD$13,MATCH($S63,$Y$3:$Y$13,1)+1),INDEX($Y$3:$Y$13,MATCH($S63,$Y$3:$Y$13,1)):INDEX($Y$3:$Y$13,MATCH($S63,$Y$3:$Y$13,1)+1)),0))</f>
        <v/>
      </c>
      <c r="AE63" s="47">
        <f>IF(OR(G63="",NOT($H63="")),"",ROUND(_xlfn.FORECAST.LINEAR($S63,INDEX(AE$3:AE$13,MATCH($S63,$Y$3:$Y$13,1)):INDEX(AE$3:AE$13,MATCH($S63,$Y$3:$Y$13,1)+1),INDEX($Y$3:$Y$13,MATCH($S63,$Y$3:$Y$13,1)):INDEX($Y$3:$Y$13,MATCH($S63,$Y$3:$Y$13,1)+1)),0))</f>
        <v>218</v>
      </c>
      <c r="AF63" s="26">
        <f t="shared" si="37"/>
        <v>783</v>
      </c>
      <c r="AG63" s="9" t="str">
        <f t="shared" si="38"/>
        <v/>
      </c>
      <c r="AH63" s="11" t="str">
        <f t="shared" si="39"/>
        <v/>
      </c>
      <c r="AI63" s="9" t="str">
        <f t="shared" si="40"/>
        <v/>
      </c>
      <c r="AJ63" s="10" t="str">
        <f t="shared" si="41"/>
        <v/>
      </c>
      <c r="AK63" s="10" t="str">
        <f t="shared" si="42"/>
        <v/>
      </c>
      <c r="AL63" s="11" t="str">
        <f t="shared" si="43"/>
        <v/>
      </c>
    </row>
    <row r="64" spans="2:40" ht="16.5" thickTop="1" thickBot="1" x14ac:dyDescent="0.3">
      <c r="C64" s="1">
        <v>1</v>
      </c>
      <c r="D64" s="1">
        <v>1</v>
      </c>
      <c r="F64" s="1">
        <v>1</v>
      </c>
      <c r="G64" s="1">
        <v>1</v>
      </c>
      <c r="H64" s="28" t="str">
        <f t="shared" si="19"/>
        <v/>
      </c>
      <c r="I64" s="29">
        <f t="shared" si="25"/>
        <v>0.43632631944444444</v>
      </c>
      <c r="J64" s="75">
        <f t="shared" si="26"/>
        <v>36000</v>
      </c>
      <c r="K64" s="71">
        <f t="shared" si="27"/>
        <v>24000</v>
      </c>
      <c r="L64" s="72">
        <f t="shared" si="28"/>
        <v>10471.831666666667</v>
      </c>
      <c r="M64" s="80">
        <f t="shared" si="20"/>
        <v>991.16833333333307</v>
      </c>
      <c r="N64" s="81">
        <f t="shared" si="29"/>
        <v>991.16833333333307</v>
      </c>
      <c r="O64" s="82">
        <f t="shared" si="44"/>
        <v>49.558416666666744</v>
      </c>
      <c r="P64" s="71">
        <f t="shared" si="30"/>
        <v>12000</v>
      </c>
      <c r="Q64" s="103">
        <f t="shared" si="22"/>
        <v>49.558416666666659</v>
      </c>
      <c r="R64" s="72">
        <f t="shared" si="31"/>
        <v>5285.4742500000002</v>
      </c>
      <c r="S64" s="29">
        <f t="shared" si="23"/>
        <v>0.44045618750000004</v>
      </c>
      <c r="T64" s="62">
        <f t="shared" si="32"/>
        <v>1040.7267499999998</v>
      </c>
      <c r="U64" s="90">
        <f t="shared" si="33"/>
        <v>0</v>
      </c>
      <c r="V64" s="62">
        <f t="shared" si="34"/>
        <v>0</v>
      </c>
      <c r="W64" s="94">
        <f t="shared" si="35"/>
        <v>0</v>
      </c>
      <c r="X64" s="154">
        <f t="shared" si="36"/>
        <v>-200.60249999999985</v>
      </c>
      <c r="Y64" s="154">
        <f t="shared" si="24"/>
        <v>-200.60249999999985</v>
      </c>
      <c r="Z64" s="1" t="str">
        <f>IF(OR(B64="",NOT($H64="")),"",ROUND(_xlfn.FORECAST.LINEAR($I64,INDEX(Z$3:Z$13,MATCH($I64,$Y$3:$Y$13,1)):INDEX(Z$3:Z$13,MATCH($I64,$Y$3:$Y$13,1)+1),INDEX($Y$3:$Y$13,MATCH($I64,$Y$3:$Y$13,1)):INDEX($Y$3:$Y$13,MATCH($I64,$Y$3:$Y$13,1)+1)),0))</f>
        <v/>
      </c>
      <c r="AA64" s="39">
        <f>IF(OR(C64="",NOT($H64="")),"",ROUND(_xlfn.FORECAST.LINEAR($I64,INDEX(AA$3:AA$13,MATCH($I64,$Y$3:$Y$13,1)):INDEX(AA$3:AA$13,MATCH($I64,$Y$3:$Y$13,1)+1),INDEX($Y$3:$Y$13,MATCH($I64,$Y$3:$Y$13,1)):INDEX($Y$3:$Y$13,MATCH($I64,$Y$3:$Y$13,1)+1)),0))</f>
        <v>169</v>
      </c>
      <c r="AB64" s="38">
        <f>IF(OR(D64="",NOT($H64="")),"",ROUND(_xlfn.FORECAST.LINEAR($S64,INDEX(AB$3:AB$13,MATCH($S64,$Y$3:$Y$13,1)):INDEX(AB$3:AB$13,MATCH($S64,$Y$3:$Y$13,1)+1),INDEX($Y$3:$Y$13,MATCH($S64,$Y$3:$Y$13,1)):INDEX($Y$3:$Y$13,MATCH($S64,$Y$3:$Y$13,1)+1)),0))</f>
        <v>198</v>
      </c>
      <c r="AC64" s="1" t="str">
        <f>IF(OR(E64="",NOT($H64="")),"",ROUND(_xlfn.FORECAST.LINEAR($S64,INDEX(AC$3:AC$13,MATCH($S64,$Y$3:$Y$13,1)):INDEX(AC$3:AC$13,MATCH($S64,$Y$3:$Y$13,1)+1),INDEX($Y$3:$Y$13,MATCH($S64,$Y$3:$Y$13,1)):INDEX($Y$3:$Y$13,MATCH($S64,$Y$3:$Y$13,1)+1)),0))</f>
        <v/>
      </c>
      <c r="AD64" s="1">
        <f>IF(OR(F64="",NOT($H64="")),"",ROUND(_xlfn.FORECAST.LINEAR($S64,INDEX(AD$3:AD$13,MATCH($S64,$Y$3:$Y$13,1)):INDEX(AD$3:AD$13,MATCH($S64,$Y$3:$Y$13,1)+1),INDEX($Y$3:$Y$13,MATCH($S64,$Y$3:$Y$13,1)):INDEX($Y$3:$Y$13,MATCH($S64,$Y$3:$Y$13,1)+1)),0))</f>
        <v>190</v>
      </c>
      <c r="AE64" s="47">
        <f>IF(OR(G64="",NOT($H64="")),"",ROUND(_xlfn.FORECAST.LINEAR($S64,INDEX(AE$3:AE$13,MATCH($S64,$Y$3:$Y$13,1)):INDEX(AE$3:AE$13,MATCH($S64,$Y$3:$Y$13,1)+1),INDEX($Y$3:$Y$13,MATCH($S64,$Y$3:$Y$13,1)):INDEX($Y$3:$Y$13,MATCH($S64,$Y$3:$Y$13,1)+1)),0))</f>
        <v>218</v>
      </c>
      <c r="AF64" s="26">
        <f t="shared" si="37"/>
        <v>775</v>
      </c>
      <c r="AG64" s="9" t="str">
        <f t="shared" si="38"/>
        <v/>
      </c>
      <c r="AH64" s="11" t="str">
        <f t="shared" si="39"/>
        <v/>
      </c>
      <c r="AI64" s="9" t="str">
        <f t="shared" si="40"/>
        <v/>
      </c>
      <c r="AJ64" s="10" t="str">
        <f t="shared" si="41"/>
        <v/>
      </c>
      <c r="AK64" s="10" t="str">
        <f t="shared" si="42"/>
        <v/>
      </c>
      <c r="AL64" s="11" t="str">
        <f t="shared" si="43"/>
        <v/>
      </c>
      <c r="AM64" s="10">
        <f>(AA64*L64)/1000+(AB64*R64/3)/1000+(AD64*R64/3)/1000+(AE64*R64/3)/1000</f>
        <v>2837.4053501666667</v>
      </c>
      <c r="AN64" s="2">
        <f>AM64*3.206</f>
        <v>9096.7215526343334</v>
      </c>
    </row>
    <row r="65" spans="2:43" ht="16.5" thickTop="1" thickBot="1" x14ac:dyDescent="0.3">
      <c r="C65" s="1">
        <v>1</v>
      </c>
      <c r="E65" s="1">
        <v>1</v>
      </c>
      <c r="F65" s="1">
        <v>1</v>
      </c>
      <c r="G65" s="1">
        <v>1</v>
      </c>
      <c r="H65" s="28" t="str">
        <f t="shared" si="19"/>
        <v/>
      </c>
      <c r="I65" s="29">
        <f t="shared" si="25"/>
        <v>0.43632631944444444</v>
      </c>
      <c r="J65" s="75">
        <f t="shared" si="26"/>
        <v>36000</v>
      </c>
      <c r="K65" s="71">
        <f t="shared" si="27"/>
        <v>24000</v>
      </c>
      <c r="L65" s="72">
        <f t="shared" si="28"/>
        <v>10471.831666666667</v>
      </c>
      <c r="M65" s="80">
        <f t="shared" si="20"/>
        <v>991.16833333333307</v>
      </c>
      <c r="N65" s="81">
        <f t="shared" si="29"/>
        <v>991.16833333333307</v>
      </c>
      <c r="O65" s="82">
        <f t="shared" si="44"/>
        <v>49.558416666666744</v>
      </c>
      <c r="P65" s="71">
        <f t="shared" si="30"/>
        <v>12000</v>
      </c>
      <c r="Q65" s="103">
        <f t="shared" si="22"/>
        <v>49.558416666666659</v>
      </c>
      <c r="R65" s="72">
        <f t="shared" si="31"/>
        <v>5285.4742500000002</v>
      </c>
      <c r="S65" s="29">
        <f t="shared" si="23"/>
        <v>0.44045618750000004</v>
      </c>
      <c r="T65" s="62">
        <f t="shared" si="32"/>
        <v>1040.7267499999998</v>
      </c>
      <c r="U65" s="90">
        <f t="shared" si="33"/>
        <v>0</v>
      </c>
      <c r="V65" s="62">
        <f t="shared" si="34"/>
        <v>0</v>
      </c>
      <c r="W65" s="94">
        <f t="shared" si="35"/>
        <v>0</v>
      </c>
      <c r="X65" s="154">
        <f t="shared" si="36"/>
        <v>-200.60249999999985</v>
      </c>
      <c r="Y65" s="154">
        <f t="shared" si="24"/>
        <v>-200.60249999999985</v>
      </c>
      <c r="Z65" s="1" t="str">
        <f>IF(OR(B65="",NOT($H65="")),"",ROUND(_xlfn.FORECAST.LINEAR($I65,INDEX(Z$3:Z$13,MATCH($I65,$Y$3:$Y$13,1)):INDEX(Z$3:Z$13,MATCH($I65,$Y$3:$Y$13,1)+1),INDEX($Y$3:$Y$13,MATCH($I65,$Y$3:$Y$13,1)):INDEX($Y$3:$Y$13,MATCH($I65,$Y$3:$Y$13,1)+1)),0))</f>
        <v/>
      </c>
      <c r="AA65" s="39">
        <f>IF(OR(C65="",NOT($H65="")),"",ROUND(_xlfn.FORECAST.LINEAR($I65,INDEX(AA$3:AA$13,MATCH($I65,$Y$3:$Y$13,1)):INDEX(AA$3:AA$13,MATCH($I65,$Y$3:$Y$13,1)+1),INDEX($Y$3:$Y$13,MATCH($I65,$Y$3:$Y$13,1)):INDEX($Y$3:$Y$13,MATCH($I65,$Y$3:$Y$13,1)+1)),0))</f>
        <v>169</v>
      </c>
      <c r="AB65" s="38" t="str">
        <f>IF(OR(D65="",NOT($H65="")),"",ROUND(_xlfn.FORECAST.LINEAR($S65,INDEX(AB$3:AB$13,MATCH($S65,$Y$3:$Y$13,1)):INDEX(AB$3:AB$13,MATCH($S65,$Y$3:$Y$13,1)+1),INDEX($Y$3:$Y$13,MATCH($S65,$Y$3:$Y$13,1)):INDEX($Y$3:$Y$13,MATCH($S65,$Y$3:$Y$13,1)+1)),0))</f>
        <v/>
      </c>
      <c r="AC65" s="1">
        <f>IF(OR(E65="",NOT($H65="")),"",ROUND(_xlfn.FORECAST.LINEAR($S65,INDEX(AC$3:AC$13,MATCH($S65,$Y$3:$Y$13,1)):INDEX(AC$3:AC$13,MATCH($S65,$Y$3:$Y$13,1)+1),INDEX($Y$3:$Y$13,MATCH($S65,$Y$3:$Y$13,1)):INDEX($Y$3:$Y$13,MATCH($S65,$Y$3:$Y$13,1)+1)),0))</f>
        <v>198</v>
      </c>
      <c r="AD65" s="1">
        <f>IF(OR(F65="",NOT($H65="")),"",ROUND(_xlfn.FORECAST.LINEAR($S65,INDEX(AD$3:AD$13,MATCH($S65,$Y$3:$Y$13,1)):INDEX(AD$3:AD$13,MATCH($S65,$Y$3:$Y$13,1)+1),INDEX($Y$3:$Y$13,MATCH($S65,$Y$3:$Y$13,1)):INDEX($Y$3:$Y$13,MATCH($S65,$Y$3:$Y$13,1)+1)),0))</f>
        <v>190</v>
      </c>
      <c r="AE65" s="47">
        <f>IF(OR(G65="",NOT($H65="")),"",ROUND(_xlfn.FORECAST.LINEAR($S65,INDEX(AE$3:AE$13,MATCH($S65,$Y$3:$Y$13,1)):INDEX(AE$3:AE$13,MATCH($S65,$Y$3:$Y$13,1)+1),INDEX($Y$3:$Y$13,MATCH($S65,$Y$3:$Y$13,1)):INDEX($Y$3:$Y$13,MATCH($S65,$Y$3:$Y$13,1)+1)),0))</f>
        <v>218</v>
      </c>
      <c r="AF65" s="26">
        <f t="shared" si="37"/>
        <v>775</v>
      </c>
      <c r="AG65" s="9" t="str">
        <f t="shared" si="38"/>
        <v/>
      </c>
      <c r="AH65" s="11" t="str">
        <f t="shared" si="39"/>
        <v/>
      </c>
      <c r="AI65" s="9" t="str">
        <f t="shared" si="40"/>
        <v/>
      </c>
      <c r="AJ65" s="10" t="str">
        <f t="shared" si="41"/>
        <v/>
      </c>
      <c r="AK65" s="10" t="str">
        <f t="shared" si="42"/>
        <v/>
      </c>
      <c r="AL65" s="11" t="str">
        <f t="shared" si="43"/>
        <v/>
      </c>
    </row>
    <row r="66" spans="2:43" ht="16.5" thickTop="1" thickBot="1" x14ac:dyDescent="0.3">
      <c r="B66" s="1">
        <v>1</v>
      </c>
      <c r="C66" s="1">
        <v>1</v>
      </c>
      <c r="D66" s="1">
        <v>1</v>
      </c>
      <c r="E66" s="1">
        <v>1</v>
      </c>
      <c r="H66" s="28" t="str">
        <f t="shared" si="19"/>
        <v/>
      </c>
      <c r="I66" s="29">
        <f t="shared" si="25"/>
        <v>0.28049549107142857</v>
      </c>
      <c r="J66" s="75">
        <f t="shared" si="26"/>
        <v>56000</v>
      </c>
      <c r="K66" s="71">
        <f t="shared" si="27"/>
        <v>48000</v>
      </c>
      <c r="L66" s="72">
        <f t="shared" si="28"/>
        <v>13463.783571428572</v>
      </c>
      <c r="M66" s="80">
        <f t="shared" si="20"/>
        <v>-2000.783571428572</v>
      </c>
      <c r="N66" s="81">
        <f t="shared" si="29"/>
        <v>0</v>
      </c>
      <c r="O66" s="82">
        <f t="shared" si="44"/>
        <v>0</v>
      </c>
      <c r="P66" s="71">
        <f t="shared" si="30"/>
        <v>8000</v>
      </c>
      <c r="Q66" s="103">
        <f t="shared" si="22"/>
        <v>0</v>
      </c>
      <c r="R66" s="72">
        <f t="shared" si="31"/>
        <v>2243.9639285714284</v>
      </c>
      <c r="S66" s="29">
        <f t="shared" si="23"/>
        <v>0.28049549107142857</v>
      </c>
      <c r="T66" s="62">
        <f t="shared" si="32"/>
        <v>0</v>
      </c>
      <c r="U66" s="90">
        <f t="shared" si="33"/>
        <v>2000.783571428572</v>
      </c>
      <c r="V66" s="62">
        <f t="shared" si="34"/>
        <v>0</v>
      </c>
      <c r="W66" s="94">
        <f t="shared" si="35"/>
        <v>0</v>
      </c>
      <c r="X66" s="154">
        <f t="shared" si="36"/>
        <v>-200.60249999999985</v>
      </c>
      <c r="Y66" s="154">
        <f t="shared" si="24"/>
        <v>-200.60249999999985</v>
      </c>
      <c r="Z66" s="1">
        <f>IF(OR(B66="",NOT($H66="")),"",ROUND(_xlfn.FORECAST.LINEAR($I66,INDEX(Z$3:Z$13,MATCH($I66,$Y$3:$Y$13,1)):INDEX(Z$3:Z$13,MATCH($I66,$Y$3:$Y$13,1)+1),INDEX($Y$3:$Y$13,MATCH($I66,$Y$3:$Y$13,1)):INDEX($Y$3:$Y$13,MATCH($I66,$Y$3:$Y$13,1)+1)),0))</f>
        <v>173</v>
      </c>
      <c r="AA66" s="39">
        <f>IF(OR(C66="",NOT($H66="")),"",ROUND(_xlfn.FORECAST.LINEAR($I66,INDEX(AA$3:AA$13,MATCH($I66,$Y$3:$Y$13,1)):INDEX(AA$3:AA$13,MATCH($I66,$Y$3:$Y$13,1)+1),INDEX($Y$3:$Y$13,MATCH($I66,$Y$3:$Y$13,1)):INDEX($Y$3:$Y$13,MATCH($I66,$Y$3:$Y$13,1)+1)),0))</f>
        <v>173</v>
      </c>
      <c r="AB66" s="38">
        <f>IF(OR(D66="",NOT($H66="")),"",ROUND(_xlfn.FORECAST.LINEAR($S66,INDEX(AB$3:AB$13,MATCH($S66,$Y$3:$Y$13,1)):INDEX(AB$3:AB$13,MATCH($S66,$Y$3:$Y$13,1)+1),INDEX($Y$3:$Y$13,MATCH($S66,$Y$3:$Y$13,1)):INDEX($Y$3:$Y$13,MATCH($S66,$Y$3:$Y$13,1)+1)),0))</f>
        <v>222</v>
      </c>
      <c r="AC66" s="1">
        <f>IF(OR(E66="",NOT($H66="")),"",ROUND(_xlfn.FORECAST.LINEAR($S66,INDEX(AC$3:AC$13,MATCH($S66,$Y$3:$Y$13,1)):INDEX(AC$3:AC$13,MATCH($S66,$Y$3:$Y$13,1)+1),INDEX($Y$3:$Y$13,MATCH($S66,$Y$3:$Y$13,1)):INDEX($Y$3:$Y$13,MATCH($S66,$Y$3:$Y$13,1)+1)),0))</f>
        <v>222</v>
      </c>
      <c r="AD66" s="1" t="str">
        <f>IF(OR(F66="",NOT($H66="")),"",ROUND(_xlfn.FORECAST.LINEAR($S66,INDEX(AD$3:AD$13,MATCH($S66,$Y$3:$Y$13,1)):INDEX(AD$3:AD$13,MATCH($S66,$Y$3:$Y$13,1)+1),INDEX($Y$3:$Y$13,MATCH($S66,$Y$3:$Y$13,1)):INDEX($Y$3:$Y$13,MATCH($S66,$Y$3:$Y$13,1)+1)),0))</f>
        <v/>
      </c>
      <c r="AE66" s="47" t="str">
        <f>IF(OR(G66="",NOT($H66="")),"",ROUND(_xlfn.FORECAST.LINEAR($S66,INDEX(AE$3:AE$13,MATCH($S66,$Y$3:$Y$13,1)):INDEX(AE$3:AE$13,MATCH($S66,$Y$3:$Y$13,1)+1),INDEX($Y$3:$Y$13,MATCH($S66,$Y$3:$Y$13,1)):INDEX($Y$3:$Y$13,MATCH($S66,$Y$3:$Y$13,1)+1)),0))</f>
        <v/>
      </c>
      <c r="AF66" s="26">
        <f t="shared" si="37"/>
        <v>790</v>
      </c>
      <c r="AG66" s="9" t="str">
        <f t="shared" si="38"/>
        <v/>
      </c>
      <c r="AH66" s="11" t="str">
        <f t="shared" si="39"/>
        <v/>
      </c>
      <c r="AI66" s="9" t="str">
        <f t="shared" si="40"/>
        <v/>
      </c>
      <c r="AJ66" s="10" t="str">
        <f t="shared" si="41"/>
        <v/>
      </c>
      <c r="AK66" s="10" t="str">
        <f t="shared" si="42"/>
        <v/>
      </c>
      <c r="AL66" s="11" t="str">
        <f t="shared" si="43"/>
        <v/>
      </c>
    </row>
    <row r="67" spans="2:43" ht="16.5" thickTop="1" thickBot="1" x14ac:dyDescent="0.3">
      <c r="B67" s="1">
        <v>1</v>
      </c>
      <c r="C67" s="1">
        <v>1</v>
      </c>
      <c r="E67" s="1">
        <v>1</v>
      </c>
      <c r="F67" s="1">
        <v>1</v>
      </c>
      <c r="H67" s="28" t="str">
        <f t="shared" si="19"/>
        <v/>
      </c>
      <c r="I67" s="29">
        <f t="shared" si="25"/>
        <v>0.28049549107142857</v>
      </c>
      <c r="J67" s="75">
        <f t="shared" si="26"/>
        <v>56000</v>
      </c>
      <c r="K67" s="71">
        <f t="shared" si="27"/>
        <v>48000</v>
      </c>
      <c r="L67" s="72">
        <f t="shared" si="28"/>
        <v>13463.783571428572</v>
      </c>
      <c r="M67" s="80">
        <f t="shared" si="20"/>
        <v>-2000.783571428572</v>
      </c>
      <c r="N67" s="81">
        <f t="shared" si="29"/>
        <v>0</v>
      </c>
      <c r="O67" s="82">
        <f t="shared" si="44"/>
        <v>0</v>
      </c>
      <c r="P67" s="71">
        <f t="shared" si="30"/>
        <v>8000</v>
      </c>
      <c r="Q67" s="103">
        <f t="shared" si="22"/>
        <v>0</v>
      </c>
      <c r="R67" s="72">
        <f t="shared" si="31"/>
        <v>2243.9639285714284</v>
      </c>
      <c r="S67" s="29">
        <f t="shared" si="23"/>
        <v>0.28049549107142857</v>
      </c>
      <c r="T67" s="62">
        <f t="shared" si="32"/>
        <v>0</v>
      </c>
      <c r="U67" s="90">
        <f t="shared" si="33"/>
        <v>2000.783571428572</v>
      </c>
      <c r="V67" s="62">
        <f t="shared" si="34"/>
        <v>0</v>
      </c>
      <c r="W67" s="94">
        <f t="shared" si="35"/>
        <v>0</v>
      </c>
      <c r="X67" s="154">
        <f t="shared" si="36"/>
        <v>-200.60249999999985</v>
      </c>
      <c r="Y67" s="154">
        <f t="shared" si="24"/>
        <v>-200.60249999999985</v>
      </c>
      <c r="Z67" s="1">
        <f>IF(OR(B67="",NOT($H67="")),"",ROUND(_xlfn.FORECAST.LINEAR($I67,INDEX(Z$3:Z$13,MATCH($I67,$Y$3:$Y$13,1)):INDEX(Z$3:Z$13,MATCH($I67,$Y$3:$Y$13,1)+1),INDEX($Y$3:$Y$13,MATCH($I67,$Y$3:$Y$13,1)):INDEX($Y$3:$Y$13,MATCH($I67,$Y$3:$Y$13,1)+1)),0))</f>
        <v>173</v>
      </c>
      <c r="AA67" s="39">
        <f>IF(OR(C67="",NOT($H67="")),"",ROUND(_xlfn.FORECAST.LINEAR($I67,INDEX(AA$3:AA$13,MATCH($I67,$Y$3:$Y$13,1)):INDEX(AA$3:AA$13,MATCH($I67,$Y$3:$Y$13,1)+1),INDEX($Y$3:$Y$13,MATCH($I67,$Y$3:$Y$13,1)):INDEX($Y$3:$Y$13,MATCH($I67,$Y$3:$Y$13,1)+1)),0))</f>
        <v>173</v>
      </c>
      <c r="AB67" s="38" t="str">
        <f>IF(OR(D67="",NOT($H67="")),"",ROUND(_xlfn.FORECAST.LINEAR($S67,INDEX(AB$3:AB$13,MATCH($S67,$Y$3:$Y$13,1)):INDEX(AB$3:AB$13,MATCH($S67,$Y$3:$Y$13,1)+1),INDEX($Y$3:$Y$13,MATCH($S67,$Y$3:$Y$13,1)):INDEX($Y$3:$Y$13,MATCH($S67,$Y$3:$Y$13,1)+1)),0))</f>
        <v/>
      </c>
      <c r="AC67" s="1">
        <f>IF(OR(E67="",NOT($H67="")),"",ROUND(_xlfn.FORECAST.LINEAR($S67,INDEX(AC$3:AC$13,MATCH($S67,$Y$3:$Y$13,1)):INDEX(AC$3:AC$13,MATCH($S67,$Y$3:$Y$13,1)+1),INDEX($Y$3:$Y$13,MATCH($S67,$Y$3:$Y$13,1)):INDEX($Y$3:$Y$13,MATCH($S67,$Y$3:$Y$13,1)+1)),0))</f>
        <v>222</v>
      </c>
      <c r="AD67" s="1">
        <f>IF(OR(F67="",NOT($H67="")),"",ROUND(_xlfn.FORECAST.LINEAR($S67,INDEX(AD$3:AD$13,MATCH($S67,$Y$3:$Y$13,1)):INDEX(AD$3:AD$13,MATCH($S67,$Y$3:$Y$13,1)+1),INDEX($Y$3:$Y$13,MATCH($S67,$Y$3:$Y$13,1)):INDEX($Y$3:$Y$13,MATCH($S67,$Y$3:$Y$13,1)+1)),0))</f>
        <v>212</v>
      </c>
      <c r="AE67" s="47" t="str">
        <f>IF(OR(G67="",NOT($H67="")),"",ROUND(_xlfn.FORECAST.LINEAR($S67,INDEX(AE$3:AE$13,MATCH($S67,$Y$3:$Y$13,1)):INDEX(AE$3:AE$13,MATCH($S67,$Y$3:$Y$13,1)+1),INDEX($Y$3:$Y$13,MATCH($S67,$Y$3:$Y$13,1)):INDEX($Y$3:$Y$13,MATCH($S67,$Y$3:$Y$13,1)+1)),0))</f>
        <v/>
      </c>
      <c r="AF67" s="26">
        <f t="shared" si="37"/>
        <v>780</v>
      </c>
      <c r="AG67" s="9" t="str">
        <f t="shared" si="38"/>
        <v/>
      </c>
      <c r="AH67" s="11" t="str">
        <f t="shared" si="39"/>
        <v/>
      </c>
      <c r="AI67" s="9" t="str">
        <f t="shared" si="40"/>
        <v/>
      </c>
      <c r="AJ67" s="10" t="str">
        <f t="shared" si="41"/>
        <v/>
      </c>
      <c r="AK67" s="10" t="str">
        <f t="shared" si="42"/>
        <v/>
      </c>
      <c r="AL67" s="11" t="str">
        <f t="shared" si="43"/>
        <v/>
      </c>
      <c r="AQ67">
        <f>(AM70-AM72)*100/AM70</f>
        <v>1.9347199519433416</v>
      </c>
    </row>
    <row r="68" spans="2:43" ht="16.5" thickTop="1" thickBot="1" x14ac:dyDescent="0.3">
      <c r="B68" s="1">
        <v>1</v>
      </c>
      <c r="C68" s="1">
        <v>1</v>
      </c>
      <c r="F68" s="1">
        <v>1</v>
      </c>
      <c r="G68" s="1">
        <v>1</v>
      </c>
      <c r="H68" s="28" t="str">
        <f t="shared" si="19"/>
        <v/>
      </c>
      <c r="I68" s="29">
        <f t="shared" si="25"/>
        <v>0.28049549107142857</v>
      </c>
      <c r="J68" s="75">
        <f t="shared" si="26"/>
        <v>56000</v>
      </c>
      <c r="K68" s="71">
        <f t="shared" si="27"/>
        <v>48000</v>
      </c>
      <c r="L68" s="72">
        <f t="shared" si="28"/>
        <v>13463.783571428572</v>
      </c>
      <c r="M68" s="80">
        <f t="shared" si="20"/>
        <v>-2000.783571428572</v>
      </c>
      <c r="N68" s="81">
        <f t="shared" si="29"/>
        <v>0</v>
      </c>
      <c r="O68" s="82">
        <f t="shared" si="44"/>
        <v>0</v>
      </c>
      <c r="P68" s="71">
        <f t="shared" si="30"/>
        <v>8000</v>
      </c>
      <c r="Q68" s="103">
        <f t="shared" si="22"/>
        <v>0</v>
      </c>
      <c r="R68" s="72">
        <f t="shared" si="31"/>
        <v>2243.9639285714284</v>
      </c>
      <c r="S68" s="29">
        <f t="shared" si="23"/>
        <v>0.28049549107142857</v>
      </c>
      <c r="T68" s="62">
        <f t="shared" si="32"/>
        <v>0</v>
      </c>
      <c r="U68" s="90">
        <f t="shared" si="33"/>
        <v>2000.783571428572</v>
      </c>
      <c r="V68" s="62">
        <f t="shared" si="34"/>
        <v>0</v>
      </c>
      <c r="W68" s="94">
        <f t="shared" si="35"/>
        <v>0</v>
      </c>
      <c r="X68" s="154">
        <f t="shared" si="36"/>
        <v>-200.60249999999985</v>
      </c>
      <c r="Y68" s="154">
        <f t="shared" si="24"/>
        <v>-200.60249999999985</v>
      </c>
      <c r="Z68" s="1">
        <f>IF(OR(B68="",NOT($H68="")),"",ROUND(_xlfn.FORECAST.LINEAR($I68,INDEX(Z$3:Z$13,MATCH($I68,$Y$3:$Y$13,1)):INDEX(Z$3:Z$13,MATCH($I68,$Y$3:$Y$13,1)+1),INDEX($Y$3:$Y$13,MATCH($I68,$Y$3:$Y$13,1)):INDEX($Y$3:$Y$13,MATCH($I68,$Y$3:$Y$13,1)+1)),0))</f>
        <v>173</v>
      </c>
      <c r="AA68" s="39">
        <f>IF(OR(C68="",NOT($H68="")),"",ROUND(_xlfn.FORECAST.LINEAR($I68,INDEX(AA$3:AA$13,MATCH($I68,$Y$3:$Y$13,1)):INDEX(AA$3:AA$13,MATCH($I68,$Y$3:$Y$13,1)+1),INDEX($Y$3:$Y$13,MATCH($I68,$Y$3:$Y$13,1)):INDEX($Y$3:$Y$13,MATCH($I68,$Y$3:$Y$13,1)+1)),0))</f>
        <v>173</v>
      </c>
      <c r="AB68" s="38" t="str">
        <f>IF(OR(D68="",NOT($H68="")),"",ROUND(_xlfn.FORECAST.LINEAR($S68,INDEX(AB$3:AB$13,MATCH($S68,$Y$3:$Y$13,1)):INDEX(AB$3:AB$13,MATCH($S68,$Y$3:$Y$13,1)+1),INDEX($Y$3:$Y$13,MATCH($S68,$Y$3:$Y$13,1)):INDEX($Y$3:$Y$13,MATCH($S68,$Y$3:$Y$13,1)+1)),0))</f>
        <v/>
      </c>
      <c r="AC68" s="1" t="str">
        <f>IF(OR(E68="",NOT($H68="")),"",ROUND(_xlfn.FORECAST.LINEAR($S68,INDEX(AC$3:AC$13,MATCH($S68,$Y$3:$Y$13,1)):INDEX(AC$3:AC$13,MATCH($S68,$Y$3:$Y$13,1)+1),INDEX($Y$3:$Y$13,MATCH($S68,$Y$3:$Y$13,1)):INDEX($Y$3:$Y$13,MATCH($S68,$Y$3:$Y$13,1)+1)),0))</f>
        <v/>
      </c>
      <c r="AD68" s="1">
        <f>IF(OR(F68="",NOT($H68="")),"",ROUND(_xlfn.FORECAST.LINEAR($S68,INDEX(AD$3:AD$13,MATCH($S68,$Y$3:$Y$13,1)):INDEX(AD$3:AD$13,MATCH($S68,$Y$3:$Y$13,1)+1),INDEX($Y$3:$Y$13,MATCH($S68,$Y$3:$Y$13,1)):INDEX($Y$3:$Y$13,MATCH($S68,$Y$3:$Y$13,1)+1)),0))</f>
        <v>212</v>
      </c>
      <c r="AE68" s="47">
        <f>IF(OR(G68="",NOT($H68="")),"",ROUND(_xlfn.FORECAST.LINEAR($S68,INDEX(AE$3:AE$13,MATCH($S68,$Y$3:$Y$13,1)):INDEX(AE$3:AE$13,MATCH($S68,$Y$3:$Y$13,1)+1),INDEX($Y$3:$Y$13,MATCH($S68,$Y$3:$Y$13,1)):INDEX($Y$3:$Y$13,MATCH($S68,$Y$3:$Y$13,1)+1)),0))</f>
        <v>244</v>
      </c>
      <c r="AF68" s="26">
        <f t="shared" si="37"/>
        <v>802</v>
      </c>
      <c r="AG68" s="9" t="str">
        <f t="shared" si="38"/>
        <v/>
      </c>
      <c r="AH68" s="11" t="str">
        <f t="shared" si="39"/>
        <v/>
      </c>
      <c r="AI68" s="9" t="str">
        <f t="shared" si="40"/>
        <v/>
      </c>
      <c r="AJ68" s="10" t="str">
        <f t="shared" si="41"/>
        <v/>
      </c>
      <c r="AK68" s="10" t="str">
        <f t="shared" si="42"/>
        <v/>
      </c>
      <c r="AL68" s="11" t="str">
        <f t="shared" si="43"/>
        <v/>
      </c>
      <c r="AQ68">
        <f>(2911-AM38)*100/2911</f>
        <v>7.1888502232909763</v>
      </c>
    </row>
    <row r="69" spans="2:43" ht="16.5" thickTop="1" thickBot="1" x14ac:dyDescent="0.3">
      <c r="B69" s="1">
        <v>1</v>
      </c>
      <c r="D69" s="1">
        <v>1</v>
      </c>
      <c r="E69" s="1">
        <v>1</v>
      </c>
      <c r="F69" s="1">
        <v>1</v>
      </c>
      <c r="G69" s="1">
        <v>1</v>
      </c>
      <c r="H69" s="28" t="str">
        <f t="shared" si="19"/>
        <v/>
      </c>
      <c r="I69" s="29">
        <f t="shared" si="25"/>
        <v>0.3926936875</v>
      </c>
      <c r="J69" s="75">
        <f t="shared" si="26"/>
        <v>40000</v>
      </c>
      <c r="K69" s="71">
        <f t="shared" si="27"/>
        <v>24000</v>
      </c>
      <c r="L69" s="72">
        <f t="shared" si="28"/>
        <v>9424.6484999999993</v>
      </c>
      <c r="M69" s="80">
        <f t="shared" si="20"/>
        <v>2038.3515000000007</v>
      </c>
      <c r="N69" s="81">
        <f t="shared" si="29"/>
        <v>0</v>
      </c>
      <c r="O69" s="82">
        <f t="shared" si="44"/>
        <v>101.91757499999994</v>
      </c>
      <c r="P69" s="71">
        <f t="shared" si="30"/>
        <v>16000</v>
      </c>
      <c r="Q69" s="103">
        <f t="shared" si="22"/>
        <v>101.91757500000004</v>
      </c>
      <c r="R69" s="72">
        <f t="shared" si="31"/>
        <v>6385.0165750000006</v>
      </c>
      <c r="S69" s="29">
        <f t="shared" si="23"/>
        <v>0.39906353593750005</v>
      </c>
      <c r="T69" s="62">
        <f t="shared" si="32"/>
        <v>101.91757499999994</v>
      </c>
      <c r="U69" s="90">
        <f t="shared" si="33"/>
        <v>0</v>
      </c>
      <c r="V69" s="62">
        <f t="shared" si="34"/>
        <v>2038.3515000000007</v>
      </c>
      <c r="W69" s="94">
        <f t="shared" si="35"/>
        <v>0</v>
      </c>
      <c r="X69" s="154">
        <f t="shared" si="36"/>
        <v>-200.60249999999985</v>
      </c>
      <c r="Y69" s="154">
        <f t="shared" si="24"/>
        <v>-200.60249999999985</v>
      </c>
      <c r="Z69" s="1">
        <f>IF(OR(B69="",NOT($H69="")),"",ROUND(_xlfn.FORECAST.LINEAR($I69,INDEX(Z$3:Z$13,MATCH($I69,$Y$3:$Y$13,1)):INDEX(Z$3:Z$13,MATCH($I69,$Y$3:$Y$13,1)+1),INDEX($Y$3:$Y$13,MATCH($I69,$Y$3:$Y$13,1)):INDEX($Y$3:$Y$13,MATCH($I69,$Y$3:$Y$13,1)+1)),0))</f>
        <v>170</v>
      </c>
      <c r="AA69" s="39" t="str">
        <f>IF(OR(C69="",NOT($H69="")),"",ROUND(_xlfn.FORECAST.LINEAR($I69,INDEX(AA$3:AA$13,MATCH($I69,$Y$3:$Y$13,1)):INDEX(AA$3:AA$13,MATCH($I69,$Y$3:$Y$13,1)+1),INDEX($Y$3:$Y$13,MATCH($I69,$Y$3:$Y$13,1)):INDEX($Y$3:$Y$13,MATCH($I69,$Y$3:$Y$13,1)+1)),0))</f>
        <v/>
      </c>
      <c r="AB69" s="38">
        <f>IF(OR(D69="",NOT($H69="")),"",ROUND(_xlfn.FORECAST.LINEAR($S69,INDEX(AB$3:AB$13,MATCH($S69,$Y$3:$Y$13,1)):INDEX(AB$3:AB$13,MATCH($S69,$Y$3:$Y$13,1)+1),INDEX($Y$3:$Y$13,MATCH($S69,$Y$3:$Y$13,1)):INDEX($Y$3:$Y$13,MATCH($S69,$Y$3:$Y$13,1)+1)),0))</f>
        <v>198</v>
      </c>
      <c r="AC69" s="1">
        <f>IF(OR(E69="",NOT($H69="")),"",ROUND(_xlfn.FORECAST.LINEAR($S69,INDEX(AC$3:AC$13,MATCH($S69,$Y$3:$Y$13,1)):INDEX(AC$3:AC$13,MATCH($S69,$Y$3:$Y$13,1)+1),INDEX($Y$3:$Y$13,MATCH($S69,$Y$3:$Y$13,1)):INDEX($Y$3:$Y$13,MATCH($S69,$Y$3:$Y$13,1)+1)),0))</f>
        <v>198</v>
      </c>
      <c r="AD69" s="1">
        <f>IF(OR(F69="",NOT($H69="")),"",ROUND(_xlfn.FORECAST.LINEAR($S69,INDEX(AD$3:AD$13,MATCH($S69,$Y$3:$Y$13,1)):INDEX(AD$3:AD$13,MATCH($S69,$Y$3:$Y$13,1)+1),INDEX($Y$3:$Y$13,MATCH($S69,$Y$3:$Y$13,1)):INDEX($Y$3:$Y$13,MATCH($S69,$Y$3:$Y$13,1)+1)),0))</f>
        <v>190</v>
      </c>
      <c r="AE69" s="47">
        <f>IF(OR(G69="",NOT($H69="")),"",ROUND(_xlfn.FORECAST.LINEAR($S69,INDEX(AE$3:AE$13,MATCH($S69,$Y$3:$Y$13,1)):INDEX(AE$3:AE$13,MATCH($S69,$Y$3:$Y$13,1)+1),INDEX($Y$3:$Y$13,MATCH($S69,$Y$3:$Y$13,1)):INDEX($Y$3:$Y$13,MATCH($S69,$Y$3:$Y$13,1)+1)),0))</f>
        <v>218</v>
      </c>
      <c r="AF69" s="26">
        <f t="shared" si="37"/>
        <v>974</v>
      </c>
      <c r="AG69" s="9" t="str">
        <f t="shared" si="38"/>
        <v/>
      </c>
      <c r="AH69" s="11" t="str">
        <f t="shared" si="39"/>
        <v/>
      </c>
      <c r="AI69" s="9" t="str">
        <f t="shared" si="40"/>
        <v/>
      </c>
      <c r="AJ69" s="10" t="str">
        <f t="shared" si="41"/>
        <v/>
      </c>
      <c r="AK69" s="10" t="str">
        <f t="shared" si="42"/>
        <v/>
      </c>
      <c r="AL69" s="11" t="str">
        <f t="shared" si="43"/>
        <v/>
      </c>
    </row>
    <row r="70" spans="2:43" ht="16.5" thickTop="1" thickBot="1" x14ac:dyDescent="0.3"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28" t="str">
        <f t="shared" si="19"/>
        <v/>
      </c>
      <c r="I70" s="29">
        <f t="shared" si="25"/>
        <v>0.3926936875</v>
      </c>
      <c r="J70" s="75">
        <f t="shared" si="26"/>
        <v>40000</v>
      </c>
      <c r="K70" s="71">
        <f t="shared" si="27"/>
        <v>24000</v>
      </c>
      <c r="L70" s="72">
        <f t="shared" si="28"/>
        <v>9424.6484999999993</v>
      </c>
      <c r="M70" s="80">
        <f t="shared" si="20"/>
        <v>2038.3515000000007</v>
      </c>
      <c r="N70" s="81">
        <f t="shared" si="29"/>
        <v>2038.3515000000007</v>
      </c>
      <c r="O70" s="82">
        <f t="shared" si="44"/>
        <v>101.91757499999994</v>
      </c>
      <c r="P70" s="71">
        <f t="shared" si="30"/>
        <v>16000</v>
      </c>
      <c r="Q70" s="103">
        <f t="shared" si="22"/>
        <v>101.91757500000004</v>
      </c>
      <c r="R70" s="72">
        <f t="shared" si="31"/>
        <v>6385.0165750000006</v>
      </c>
      <c r="S70" s="29">
        <f t="shared" si="23"/>
        <v>0.39906353593750005</v>
      </c>
      <c r="T70" s="62">
        <f t="shared" si="32"/>
        <v>2140.2690750000006</v>
      </c>
      <c r="U70" s="90">
        <f t="shared" si="33"/>
        <v>0</v>
      </c>
      <c r="V70" s="62">
        <f t="shared" si="34"/>
        <v>0</v>
      </c>
      <c r="W70" s="94">
        <f t="shared" si="35"/>
        <v>0</v>
      </c>
      <c r="X70" s="154">
        <f t="shared" si="36"/>
        <v>-200.60249999999985</v>
      </c>
      <c r="Y70" s="154">
        <f t="shared" si="24"/>
        <v>-200.60249999999985</v>
      </c>
      <c r="Z70" s="1" t="str">
        <f>IF(OR(B70="",NOT($H70="")),"",ROUND(_xlfn.FORECAST.LINEAR($I70,INDEX(Z$3:Z$13,MATCH($I70,$Y$3:$Y$13,1)):INDEX(Z$3:Z$13,MATCH($I70,$Y$3:$Y$13,1)+1),INDEX($Y$3:$Y$13,MATCH($I70,$Y$3:$Y$13,1)):INDEX($Y$3:$Y$13,MATCH($I70,$Y$3:$Y$13,1)+1)),0))</f>
        <v/>
      </c>
      <c r="AA70" s="39">
        <f>IF(OR(C70="",NOT($H70="")),"",ROUND(_xlfn.FORECAST.LINEAR($I70,INDEX(AA$3:AA$13,MATCH($I70,$Y$3:$Y$13,1)):INDEX(AA$3:AA$13,MATCH($I70,$Y$3:$Y$13,1)+1),INDEX($Y$3:$Y$13,MATCH($I70,$Y$3:$Y$13,1)):INDEX($Y$3:$Y$13,MATCH($I70,$Y$3:$Y$13,1)+1)),0))</f>
        <v>170</v>
      </c>
      <c r="AB70" s="38">
        <f>IF(OR(D70="",NOT($H70="")),"",ROUND(_xlfn.FORECAST.LINEAR($S70,INDEX(AB$3:AB$13,MATCH($S70,$Y$3:$Y$13,1)):INDEX(AB$3:AB$13,MATCH($S70,$Y$3:$Y$13,1)+1),INDEX($Y$3:$Y$13,MATCH($S70,$Y$3:$Y$13,1)):INDEX($Y$3:$Y$13,MATCH($S70,$Y$3:$Y$13,1)+1)),0))</f>
        <v>198</v>
      </c>
      <c r="AC70" s="1">
        <f>IF(OR(E70="",NOT($H70="")),"",ROUND(_xlfn.FORECAST.LINEAR($S70,INDEX(AC$3:AC$13,MATCH($S70,$Y$3:$Y$13,1)):INDEX(AC$3:AC$13,MATCH($S70,$Y$3:$Y$13,1)+1),INDEX($Y$3:$Y$13,MATCH($S70,$Y$3:$Y$13,1)):INDEX($Y$3:$Y$13,MATCH($S70,$Y$3:$Y$13,1)+1)),0))</f>
        <v>198</v>
      </c>
      <c r="AD70" s="1">
        <f>IF(OR(F70="",NOT($H70="")),"",ROUND(_xlfn.FORECAST.LINEAR($S70,INDEX(AD$3:AD$13,MATCH($S70,$Y$3:$Y$13,1)):INDEX(AD$3:AD$13,MATCH($S70,$Y$3:$Y$13,1)+1),INDEX($Y$3:$Y$13,MATCH($S70,$Y$3:$Y$13,1)):INDEX($Y$3:$Y$13,MATCH($S70,$Y$3:$Y$13,1)+1)),0))</f>
        <v>190</v>
      </c>
      <c r="AE70" s="47">
        <f>IF(OR(G70="",NOT($H70="")),"",ROUND(_xlfn.FORECAST.LINEAR($S70,INDEX(AE$3:AE$13,MATCH($S70,$Y$3:$Y$13,1)):INDEX(AE$3:AE$13,MATCH($S70,$Y$3:$Y$13,1)+1),INDEX($Y$3:$Y$13,MATCH($S70,$Y$3:$Y$13,1)):INDEX($Y$3:$Y$13,MATCH($S70,$Y$3:$Y$13,1)+1)),0))</f>
        <v>218</v>
      </c>
      <c r="AF70" s="26">
        <f t="shared" si="37"/>
        <v>974</v>
      </c>
      <c r="AG70" s="9" t="str">
        <f t="shared" si="38"/>
        <v/>
      </c>
      <c r="AH70" s="11" t="str">
        <f t="shared" si="39"/>
        <v/>
      </c>
      <c r="AI70" s="9" t="str">
        <f t="shared" si="40"/>
        <v/>
      </c>
      <c r="AJ70" s="10" t="str">
        <f t="shared" si="41"/>
        <v/>
      </c>
      <c r="AK70" s="10" t="str">
        <f t="shared" si="42"/>
        <v/>
      </c>
      <c r="AL70" s="11" t="str">
        <f t="shared" si="43"/>
        <v/>
      </c>
      <c r="AM70" s="10">
        <f>(AA70*L70)/1000+(AB70*R70/4)/1000+(AD70*R70/4)/1000+(AE70*R70/4)/1000+(AC70*R70/4)/1000</f>
        <v>2885.5785765749997</v>
      </c>
      <c r="AN70" s="2">
        <f>AM70*3.206</f>
        <v>9251.1649164994487</v>
      </c>
    </row>
    <row r="71" spans="2:43" ht="16.5" thickTop="1" thickBot="1" x14ac:dyDescent="0.3">
      <c r="B71" s="1">
        <v>1</v>
      </c>
      <c r="C71" s="1">
        <v>1</v>
      </c>
      <c r="E71" s="1">
        <v>1</v>
      </c>
      <c r="F71" s="1">
        <v>1</v>
      </c>
      <c r="G71" s="1">
        <v>1</v>
      </c>
      <c r="H71" s="28" t="str">
        <f t="shared" si="19"/>
        <v/>
      </c>
      <c r="I71" s="29">
        <f t="shared" si="25"/>
        <v>0.26179579166666667</v>
      </c>
      <c r="J71" s="75">
        <f t="shared" si="26"/>
        <v>60000</v>
      </c>
      <c r="K71" s="71">
        <f t="shared" si="27"/>
        <v>48000</v>
      </c>
      <c r="L71" s="72">
        <f t="shared" si="28"/>
        <v>12566.198</v>
      </c>
      <c r="M71" s="80">
        <f t="shared" si="20"/>
        <v>-1103.1980000000003</v>
      </c>
      <c r="N71" s="81">
        <f t="shared" si="29"/>
        <v>0</v>
      </c>
      <c r="O71" s="82">
        <f t="shared" si="44"/>
        <v>0</v>
      </c>
      <c r="P71" s="71">
        <f t="shared" si="30"/>
        <v>12000</v>
      </c>
      <c r="Q71" s="103">
        <f t="shared" si="22"/>
        <v>0</v>
      </c>
      <c r="R71" s="72">
        <f t="shared" si="31"/>
        <v>3141.5495000000001</v>
      </c>
      <c r="S71" s="29">
        <f t="shared" si="23"/>
        <v>0.26179579166666667</v>
      </c>
      <c r="T71" s="62">
        <f t="shared" si="32"/>
        <v>0</v>
      </c>
      <c r="U71" s="90">
        <f t="shared" si="33"/>
        <v>1103.1980000000003</v>
      </c>
      <c r="V71" s="62">
        <f t="shared" si="34"/>
        <v>0</v>
      </c>
      <c r="W71" s="94">
        <f t="shared" si="35"/>
        <v>0</v>
      </c>
      <c r="X71" s="154">
        <f t="shared" si="36"/>
        <v>-200.60249999999985</v>
      </c>
      <c r="Y71" s="154">
        <f t="shared" si="24"/>
        <v>-200.60249999999985</v>
      </c>
      <c r="Z71" s="1">
        <f>IF(OR(B71="",NOT($H71="")),"",ROUND(_xlfn.FORECAST.LINEAR($I71,INDEX(Z$3:Z$13,MATCH($I71,$Y$3:$Y$13,1)):INDEX(Z$3:Z$13,MATCH($I71,$Y$3:$Y$13,1)+1),INDEX($Y$3:$Y$13,MATCH($I71,$Y$3:$Y$13,1)):INDEX($Y$3:$Y$13,MATCH($I71,$Y$3:$Y$13,1)+1)),0))</f>
        <v>173</v>
      </c>
      <c r="AA71" s="39">
        <f>IF(OR(C71="",NOT($H71="")),"",ROUND(_xlfn.FORECAST.LINEAR($I71,INDEX(AA$3:AA$13,MATCH($I71,$Y$3:$Y$13,1)):INDEX(AA$3:AA$13,MATCH($I71,$Y$3:$Y$13,1)+1),INDEX($Y$3:$Y$13,MATCH($I71,$Y$3:$Y$13,1)):INDEX($Y$3:$Y$13,MATCH($I71,$Y$3:$Y$13,1)+1)),0))</f>
        <v>173</v>
      </c>
      <c r="AB71" s="38" t="str">
        <f>IF(OR(D71="",NOT($H71="")),"",ROUND(_xlfn.FORECAST.LINEAR($S71,INDEX(AB$3:AB$13,MATCH($S71,$Y$3:$Y$13,1)):INDEX(AB$3:AB$13,MATCH($S71,$Y$3:$Y$13,1)+1),INDEX($Y$3:$Y$13,MATCH($S71,$Y$3:$Y$13,1)):INDEX($Y$3:$Y$13,MATCH($S71,$Y$3:$Y$13,1)+1)),0))</f>
        <v/>
      </c>
      <c r="AC71" s="1">
        <f>IF(OR(E71="",NOT($H71="")),"",ROUND(_xlfn.FORECAST.LINEAR($S71,INDEX(AC$3:AC$13,MATCH($S71,$Y$3:$Y$13,1)):INDEX(AC$3:AC$13,MATCH($S71,$Y$3:$Y$13,1)+1),INDEX($Y$3:$Y$13,MATCH($S71,$Y$3:$Y$13,1)):INDEX($Y$3:$Y$13,MATCH($S71,$Y$3:$Y$13,1)+1)),0))</f>
        <v>223</v>
      </c>
      <c r="AD71" s="1">
        <f>IF(OR(F71="",NOT($H71="")),"",ROUND(_xlfn.FORECAST.LINEAR($S71,INDEX(AD$3:AD$13,MATCH($S71,$Y$3:$Y$13,1)):INDEX(AD$3:AD$13,MATCH($S71,$Y$3:$Y$13,1)+1),INDEX($Y$3:$Y$13,MATCH($S71,$Y$3:$Y$13,1)):INDEX($Y$3:$Y$13,MATCH($S71,$Y$3:$Y$13,1)+1)),0))</f>
        <v>214</v>
      </c>
      <c r="AE71" s="47">
        <f>IF(OR(G71="",NOT($H71="")),"",ROUND(_xlfn.FORECAST.LINEAR($S71,INDEX(AE$3:AE$13,MATCH($S71,$Y$3:$Y$13,1)):INDEX(AE$3:AE$13,MATCH($S71,$Y$3:$Y$13,1)+1),INDEX($Y$3:$Y$13,MATCH($S71,$Y$3:$Y$13,1)):INDEX($Y$3:$Y$13,MATCH($S71,$Y$3:$Y$13,1)+1)),0))</f>
        <v>245</v>
      </c>
      <c r="AF71" s="26">
        <f t="shared" si="37"/>
        <v>1028</v>
      </c>
      <c r="AG71" s="9" t="str">
        <f t="shared" si="38"/>
        <v/>
      </c>
      <c r="AH71" s="11" t="str">
        <f t="shared" si="39"/>
        <v/>
      </c>
      <c r="AI71" s="9" t="str">
        <f t="shared" si="40"/>
        <v/>
      </c>
      <c r="AJ71" s="10" t="str">
        <f t="shared" si="41"/>
        <v/>
      </c>
      <c r="AK71" s="10" t="str">
        <f t="shared" si="42"/>
        <v/>
      </c>
      <c r="AL71" s="11" t="str">
        <f t="shared" si="43"/>
        <v/>
      </c>
    </row>
    <row r="72" spans="2:43" ht="16.5" thickTop="1" thickBot="1" x14ac:dyDescent="0.3">
      <c r="B72" s="1">
        <v>1</v>
      </c>
      <c r="C72" s="1">
        <v>1</v>
      </c>
      <c r="D72" s="1">
        <v>1</v>
      </c>
      <c r="F72" s="1">
        <v>1</v>
      </c>
      <c r="G72" s="1">
        <v>1</v>
      </c>
      <c r="H72" s="28" t="str">
        <f t="shared" si="19"/>
        <v/>
      </c>
      <c r="I72" s="29">
        <f t="shared" si="25"/>
        <v>0.26179579166666667</v>
      </c>
      <c r="J72" s="75">
        <f t="shared" si="26"/>
        <v>60000</v>
      </c>
      <c r="K72" s="71">
        <f t="shared" si="27"/>
        <v>48000</v>
      </c>
      <c r="L72" s="72">
        <f t="shared" si="28"/>
        <v>12566.198</v>
      </c>
      <c r="M72" s="80">
        <f t="shared" si="20"/>
        <v>-1103.1980000000003</v>
      </c>
      <c r="N72" s="81">
        <f t="shared" si="29"/>
        <v>0</v>
      </c>
      <c r="O72" s="82">
        <f t="shared" si="44"/>
        <v>0</v>
      </c>
      <c r="P72" s="71">
        <f t="shared" si="30"/>
        <v>12000</v>
      </c>
      <c r="Q72" s="103">
        <f t="shared" si="22"/>
        <v>0</v>
      </c>
      <c r="R72" s="72">
        <f t="shared" si="31"/>
        <v>3141.5495000000001</v>
      </c>
      <c r="S72" s="29">
        <f t="shared" si="23"/>
        <v>0.26179579166666667</v>
      </c>
      <c r="T72" s="62">
        <f t="shared" si="32"/>
        <v>0</v>
      </c>
      <c r="U72" s="90">
        <f t="shared" si="33"/>
        <v>1103.1980000000003</v>
      </c>
      <c r="V72" s="62">
        <f t="shared" si="34"/>
        <v>0</v>
      </c>
      <c r="W72" s="94">
        <f t="shared" si="35"/>
        <v>0</v>
      </c>
      <c r="X72" s="154">
        <f t="shared" si="36"/>
        <v>-200.60249999999985</v>
      </c>
      <c r="Y72" s="154">
        <f t="shared" si="24"/>
        <v>-200.60249999999985</v>
      </c>
      <c r="Z72" s="1">
        <f>IF(OR(B72="",NOT($H72="")),"",ROUND(_xlfn.FORECAST.LINEAR($I72,INDEX(Z$3:Z$13,MATCH($I72,$Y$3:$Y$13,1)):INDEX(Z$3:Z$13,MATCH($I72,$Y$3:$Y$13,1)+1),INDEX($Y$3:$Y$13,MATCH($I72,$Y$3:$Y$13,1)):INDEX($Y$3:$Y$13,MATCH($I72,$Y$3:$Y$13,1)+1)),0))</f>
        <v>173</v>
      </c>
      <c r="AA72" s="39">
        <f>IF(OR(C72="",NOT($H72="")),"",ROUND(_xlfn.FORECAST.LINEAR($I72,INDEX(AA$3:AA$13,MATCH($I72,$Y$3:$Y$13,1)):INDEX(AA$3:AA$13,MATCH($I72,$Y$3:$Y$13,1)+1),INDEX($Y$3:$Y$13,MATCH($I72,$Y$3:$Y$13,1)):INDEX($Y$3:$Y$13,MATCH($I72,$Y$3:$Y$13,1)+1)),0))</f>
        <v>173</v>
      </c>
      <c r="AB72" s="38">
        <f>IF(OR(D72="",NOT($H72="")),"",ROUND(_xlfn.FORECAST.LINEAR($S72,INDEX(AB$3:AB$13,MATCH($S72,$Y$3:$Y$13,1)):INDEX(AB$3:AB$13,MATCH($S72,$Y$3:$Y$13,1)+1),INDEX($Y$3:$Y$13,MATCH($S72,$Y$3:$Y$13,1)):INDEX($Y$3:$Y$13,MATCH($S72,$Y$3:$Y$13,1)+1)),0))</f>
        <v>223</v>
      </c>
      <c r="AC72" s="1" t="str">
        <f>IF(OR(E72="",NOT($H72="")),"",ROUND(_xlfn.FORECAST.LINEAR($S72,INDEX(AC$3:AC$13,MATCH($S72,$Y$3:$Y$13,1)):INDEX(AC$3:AC$13,MATCH($S72,$Y$3:$Y$13,1)+1),INDEX($Y$3:$Y$13,MATCH($S72,$Y$3:$Y$13,1)):INDEX($Y$3:$Y$13,MATCH($S72,$Y$3:$Y$13,1)+1)),0))</f>
        <v/>
      </c>
      <c r="AD72" s="1">
        <f>IF(OR(F72="",NOT($H72="")),"",ROUND(_xlfn.FORECAST.LINEAR($S72,INDEX(AD$3:AD$13,MATCH($S72,$Y$3:$Y$13,1)):INDEX(AD$3:AD$13,MATCH($S72,$Y$3:$Y$13,1)+1),INDEX($Y$3:$Y$13,MATCH($S72,$Y$3:$Y$13,1)):INDEX($Y$3:$Y$13,MATCH($S72,$Y$3:$Y$13,1)+1)),0))</f>
        <v>214</v>
      </c>
      <c r="AE72" s="47">
        <f>IF(OR(G72="",NOT($H72="")),"",ROUND(_xlfn.FORECAST.LINEAR($S72,INDEX(AE$3:AE$13,MATCH($S72,$Y$3:$Y$13,1)):INDEX(AE$3:AE$13,MATCH($S72,$Y$3:$Y$13,1)+1),INDEX($Y$3:$Y$13,MATCH($S72,$Y$3:$Y$13,1)):INDEX($Y$3:$Y$13,MATCH($S72,$Y$3:$Y$13,1)+1)),0))</f>
        <v>245</v>
      </c>
      <c r="AF72" s="26">
        <f t="shared" si="37"/>
        <v>1028</v>
      </c>
      <c r="AG72" s="9" t="str">
        <f t="shared" si="38"/>
        <v/>
      </c>
      <c r="AH72" s="11" t="str">
        <f t="shared" si="39"/>
        <v/>
      </c>
      <c r="AI72" s="9" t="str">
        <f t="shared" si="40"/>
        <v/>
      </c>
      <c r="AJ72" s="10" t="str">
        <f t="shared" si="41"/>
        <v/>
      </c>
      <c r="AK72" s="10" t="str">
        <f t="shared" si="42"/>
        <v/>
      </c>
      <c r="AL72" s="11" t="str">
        <f t="shared" si="43"/>
        <v/>
      </c>
      <c r="AM72" s="10">
        <f>(Z72*L72/2)/1000+(AA72*L72/2)/1000+(AB72*R72/4)/1000+(AD72*R72/3)/1000+(AE72*R72/3)/1000</f>
        <v>2829.7507121250005</v>
      </c>
      <c r="AN72" s="2">
        <f>AM72*3.206</f>
        <v>9072.1807830727521</v>
      </c>
    </row>
    <row r="73" spans="2:43" ht="16.5" thickTop="1" thickBot="1" x14ac:dyDescent="0.3">
      <c r="B73" s="1">
        <v>1</v>
      </c>
      <c r="C73" s="1">
        <v>1</v>
      </c>
      <c r="D73" s="1">
        <v>1</v>
      </c>
      <c r="E73" s="1">
        <v>1</v>
      </c>
      <c r="G73" s="1">
        <v>1</v>
      </c>
      <c r="H73" s="28" t="str">
        <f t="shared" si="19"/>
        <v/>
      </c>
      <c r="I73" s="29">
        <f t="shared" si="25"/>
        <v>0.26179579166666667</v>
      </c>
      <c r="J73" s="75">
        <f t="shared" si="26"/>
        <v>60000</v>
      </c>
      <c r="K73" s="71">
        <f t="shared" si="27"/>
        <v>48000</v>
      </c>
      <c r="L73" s="72">
        <f t="shared" si="28"/>
        <v>12566.198</v>
      </c>
      <c r="M73" s="80">
        <f t="shared" si="20"/>
        <v>-1103.1980000000003</v>
      </c>
      <c r="N73" s="81">
        <f t="shared" si="29"/>
        <v>0</v>
      </c>
      <c r="O73" s="82">
        <f t="shared" si="44"/>
        <v>0</v>
      </c>
      <c r="P73" s="71">
        <f t="shared" si="30"/>
        <v>12000</v>
      </c>
      <c r="Q73" s="103">
        <f t="shared" si="22"/>
        <v>0</v>
      </c>
      <c r="R73" s="72">
        <f t="shared" si="31"/>
        <v>3141.5495000000001</v>
      </c>
      <c r="S73" s="29">
        <f t="shared" si="23"/>
        <v>0.26179579166666667</v>
      </c>
      <c r="T73" s="62">
        <f t="shared" si="32"/>
        <v>0</v>
      </c>
      <c r="U73" s="90">
        <f t="shared" si="33"/>
        <v>1103.1980000000003</v>
      </c>
      <c r="V73" s="62">
        <f t="shared" si="34"/>
        <v>0</v>
      </c>
      <c r="W73" s="94">
        <f t="shared" si="35"/>
        <v>0</v>
      </c>
      <c r="X73" s="154">
        <f t="shared" si="36"/>
        <v>-200.60249999999985</v>
      </c>
      <c r="Y73" s="154">
        <f t="shared" si="24"/>
        <v>-200.60249999999985</v>
      </c>
      <c r="Z73" s="1">
        <f>IF(OR(B73="",NOT($H73="")),"",ROUND(_xlfn.FORECAST.LINEAR($I73,INDEX(Z$3:Z$13,MATCH($I73,$Y$3:$Y$13,1)):INDEX(Z$3:Z$13,MATCH($I73,$Y$3:$Y$13,1)+1),INDEX($Y$3:$Y$13,MATCH($I73,$Y$3:$Y$13,1)):INDEX($Y$3:$Y$13,MATCH($I73,$Y$3:$Y$13,1)+1)),0))</f>
        <v>173</v>
      </c>
      <c r="AA73" s="39">
        <f>IF(OR(C73="",NOT($H73="")),"",ROUND(_xlfn.FORECAST.LINEAR($I73,INDEX(AA$3:AA$13,MATCH($I73,$Y$3:$Y$13,1)):INDEX(AA$3:AA$13,MATCH($I73,$Y$3:$Y$13,1)+1),INDEX($Y$3:$Y$13,MATCH($I73,$Y$3:$Y$13,1)):INDEX($Y$3:$Y$13,MATCH($I73,$Y$3:$Y$13,1)+1)),0))</f>
        <v>173</v>
      </c>
      <c r="AB73" s="38">
        <f>IF(OR(D73="",NOT($H73="")),"",ROUND(_xlfn.FORECAST.LINEAR($S73,INDEX(AB$3:AB$13,MATCH($S73,$Y$3:$Y$13,1)):INDEX(AB$3:AB$13,MATCH($S73,$Y$3:$Y$13,1)+1),INDEX($Y$3:$Y$13,MATCH($S73,$Y$3:$Y$13,1)):INDEX($Y$3:$Y$13,MATCH($S73,$Y$3:$Y$13,1)+1)),0))</f>
        <v>223</v>
      </c>
      <c r="AC73" s="1">
        <f>IF(OR(E73="",NOT($H73="")),"",ROUND(_xlfn.FORECAST.LINEAR($S73,INDEX(AC$3:AC$13,MATCH($S73,$Y$3:$Y$13,1)):INDEX(AC$3:AC$13,MATCH($S73,$Y$3:$Y$13,1)+1),INDEX($Y$3:$Y$13,MATCH($S73,$Y$3:$Y$13,1)):INDEX($Y$3:$Y$13,MATCH($S73,$Y$3:$Y$13,1)+1)),0))</f>
        <v>223</v>
      </c>
      <c r="AD73" s="1" t="str">
        <f>IF(OR(F73="",NOT($H73="")),"",ROUND(_xlfn.FORECAST.LINEAR($S73,INDEX(AD$3:AD$13,MATCH($S73,$Y$3:$Y$13,1)):INDEX(AD$3:AD$13,MATCH($S73,$Y$3:$Y$13,1)+1),INDEX($Y$3:$Y$13,MATCH($S73,$Y$3:$Y$13,1)):INDEX($Y$3:$Y$13,MATCH($S73,$Y$3:$Y$13,1)+1)),0))</f>
        <v/>
      </c>
      <c r="AE73" s="47">
        <f>IF(OR(G73="",NOT($H73="")),"",ROUND(_xlfn.FORECAST.LINEAR($S73,INDEX(AE$3:AE$13,MATCH($S73,$Y$3:$Y$13,1)):INDEX(AE$3:AE$13,MATCH($S73,$Y$3:$Y$13,1)+1),INDEX($Y$3:$Y$13,MATCH($S73,$Y$3:$Y$13,1)):INDEX($Y$3:$Y$13,MATCH($S73,$Y$3:$Y$13,1)+1)),0))</f>
        <v>245</v>
      </c>
      <c r="AF73" s="26">
        <f t="shared" si="37"/>
        <v>1037</v>
      </c>
      <c r="AG73" s="9" t="str">
        <f t="shared" si="38"/>
        <v/>
      </c>
      <c r="AH73" s="11" t="str">
        <f t="shared" si="39"/>
        <v/>
      </c>
      <c r="AI73" s="9" t="str">
        <f t="shared" si="40"/>
        <v/>
      </c>
      <c r="AJ73" s="10" t="str">
        <f t="shared" si="41"/>
        <v/>
      </c>
      <c r="AK73" s="10" t="str">
        <f t="shared" si="42"/>
        <v/>
      </c>
      <c r="AL73" s="11" t="str">
        <f t="shared" si="43"/>
        <v/>
      </c>
    </row>
    <row r="74" spans="2:43" ht="16.5" thickTop="1" thickBot="1" x14ac:dyDescent="0.3">
      <c r="B74" s="1">
        <v>1</v>
      </c>
      <c r="C74" s="1">
        <v>1</v>
      </c>
      <c r="D74" s="1">
        <v>1</v>
      </c>
      <c r="E74" s="1">
        <v>1</v>
      </c>
      <c r="F74" s="1">
        <v>1</v>
      </c>
      <c r="H74" s="28" t="str">
        <f t="shared" si="19"/>
        <v/>
      </c>
      <c r="I74" s="29">
        <f t="shared" si="25"/>
        <v>0.26179579166666667</v>
      </c>
      <c r="J74" s="75">
        <f t="shared" si="26"/>
        <v>60000</v>
      </c>
      <c r="K74" s="71">
        <f t="shared" si="27"/>
        <v>48000</v>
      </c>
      <c r="L74" s="72">
        <f t="shared" si="28"/>
        <v>12566.198</v>
      </c>
      <c r="M74" s="80">
        <f t="shared" si="20"/>
        <v>-1103.1980000000003</v>
      </c>
      <c r="N74" s="81">
        <f t="shared" si="29"/>
        <v>0</v>
      </c>
      <c r="O74" s="82">
        <f t="shared" si="44"/>
        <v>0</v>
      </c>
      <c r="P74" s="71">
        <f t="shared" si="30"/>
        <v>12000</v>
      </c>
      <c r="Q74" s="103">
        <f t="shared" si="22"/>
        <v>0</v>
      </c>
      <c r="R74" s="72">
        <f t="shared" si="31"/>
        <v>3141.5495000000001</v>
      </c>
      <c r="S74" s="29">
        <f t="shared" si="23"/>
        <v>0.26179579166666667</v>
      </c>
      <c r="T74" s="62">
        <f t="shared" si="32"/>
        <v>0</v>
      </c>
      <c r="U74" s="90">
        <f t="shared" si="33"/>
        <v>1103.1980000000003</v>
      </c>
      <c r="V74" s="62">
        <f t="shared" si="34"/>
        <v>0</v>
      </c>
      <c r="W74" s="94">
        <f t="shared" si="35"/>
        <v>0</v>
      </c>
      <c r="X74" s="154">
        <f t="shared" si="36"/>
        <v>-200.60249999999985</v>
      </c>
      <c r="Y74" s="154">
        <f t="shared" si="24"/>
        <v>-200.60249999999985</v>
      </c>
      <c r="Z74" s="1">
        <f>IF(OR(B74="",NOT($H74="")),"",ROUND(_xlfn.FORECAST.LINEAR($I74,INDEX(Z$3:Z$13,MATCH($I74,$Y$3:$Y$13,1)):INDEX(Z$3:Z$13,MATCH($I74,$Y$3:$Y$13,1)+1),INDEX($Y$3:$Y$13,MATCH($I74,$Y$3:$Y$13,1)):INDEX($Y$3:$Y$13,MATCH($I74,$Y$3:$Y$13,1)+1)),0))</f>
        <v>173</v>
      </c>
      <c r="AA74" s="39">
        <f>IF(OR(C74="",NOT($H74="")),"",ROUND(_xlfn.FORECAST.LINEAR($I74,INDEX(AA$3:AA$13,MATCH($I74,$Y$3:$Y$13,1)):INDEX(AA$3:AA$13,MATCH($I74,$Y$3:$Y$13,1)+1),INDEX($Y$3:$Y$13,MATCH($I74,$Y$3:$Y$13,1)):INDEX($Y$3:$Y$13,MATCH($I74,$Y$3:$Y$13,1)+1)),0))</f>
        <v>173</v>
      </c>
      <c r="AB74" s="38">
        <f>IF(OR(D74="",NOT($H74="")),"",ROUND(_xlfn.FORECAST.LINEAR($S74,INDEX(AB$3:AB$13,MATCH($S74,$Y$3:$Y$13,1)):INDEX(AB$3:AB$13,MATCH($S74,$Y$3:$Y$13,1)+1),INDEX($Y$3:$Y$13,MATCH($S74,$Y$3:$Y$13,1)):INDEX($Y$3:$Y$13,MATCH($S74,$Y$3:$Y$13,1)+1)),0))</f>
        <v>223</v>
      </c>
      <c r="AC74" s="1">
        <f>IF(OR(E74="",NOT($H74="")),"",ROUND(_xlfn.FORECAST.LINEAR($S74,INDEX(AC$3:AC$13,MATCH($S74,$Y$3:$Y$13,1)):INDEX(AC$3:AC$13,MATCH($S74,$Y$3:$Y$13,1)+1),INDEX($Y$3:$Y$13,MATCH($S74,$Y$3:$Y$13,1)):INDEX($Y$3:$Y$13,MATCH($S74,$Y$3:$Y$13,1)+1)),0))</f>
        <v>223</v>
      </c>
      <c r="AD74" s="1">
        <f>IF(OR(F74="",NOT($H74="")),"",ROUND(_xlfn.FORECAST.LINEAR($S74,INDEX(AD$3:AD$13,MATCH($S74,$Y$3:$Y$13,1)):INDEX(AD$3:AD$13,MATCH($S74,$Y$3:$Y$13,1)+1),INDEX($Y$3:$Y$13,MATCH($S74,$Y$3:$Y$13,1)):INDEX($Y$3:$Y$13,MATCH($S74,$Y$3:$Y$13,1)+1)),0))</f>
        <v>214</v>
      </c>
      <c r="AE74" s="47" t="str">
        <f>IF(OR(G74="",NOT($H74="")),"",ROUND(_xlfn.FORECAST.LINEAR($S74,INDEX(AE$3:AE$13,MATCH($S74,$Y$3:$Y$13,1)):INDEX(AE$3:AE$13,MATCH($S74,$Y$3:$Y$13,1)+1),INDEX($Y$3:$Y$13,MATCH($S74,$Y$3:$Y$13,1)):INDEX($Y$3:$Y$13,MATCH($S74,$Y$3:$Y$13,1)+1)),0))</f>
        <v/>
      </c>
      <c r="AF74" s="26">
        <f t="shared" si="37"/>
        <v>1006</v>
      </c>
      <c r="AG74" s="9" t="str">
        <f t="shared" si="38"/>
        <v/>
      </c>
      <c r="AH74" s="11" t="str">
        <f t="shared" si="39"/>
        <v/>
      </c>
      <c r="AI74" s="9" t="str">
        <f t="shared" si="40"/>
        <v/>
      </c>
      <c r="AJ74" s="10" t="str">
        <f t="shared" si="41"/>
        <v/>
      </c>
      <c r="AK74" s="10" t="str">
        <f t="shared" si="42"/>
        <v/>
      </c>
      <c r="AL74" s="11" t="str">
        <f t="shared" si="43"/>
        <v/>
      </c>
    </row>
    <row r="75" spans="2:43" ht="16.5" thickTop="1" thickBot="1" x14ac:dyDescent="0.3"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28" t="str">
        <f t="shared" si="19"/>
        <v/>
      </c>
      <c r="I75" s="29">
        <f t="shared" si="25"/>
        <v>0.2454335546875</v>
      </c>
      <c r="J75" s="75">
        <f t="shared" si="26"/>
        <v>64000</v>
      </c>
      <c r="K75" s="73">
        <f t="shared" si="27"/>
        <v>48000</v>
      </c>
      <c r="L75" s="74">
        <f t="shared" si="28"/>
        <v>11780.810625</v>
      </c>
      <c r="M75" s="80">
        <f t="shared" si="20"/>
        <v>-317.81062500000007</v>
      </c>
      <c r="N75" s="81">
        <f t="shared" si="29"/>
        <v>0</v>
      </c>
      <c r="O75" s="82">
        <f t="shared" si="44"/>
        <v>0</v>
      </c>
      <c r="P75" s="73">
        <f t="shared" si="30"/>
        <v>16000</v>
      </c>
      <c r="Q75" s="103">
        <f t="shared" si="22"/>
        <v>0</v>
      </c>
      <c r="R75" s="72">
        <f t="shared" si="31"/>
        <v>3926.9368749999999</v>
      </c>
      <c r="S75" s="29">
        <f t="shared" si="23"/>
        <v>0.2454335546875</v>
      </c>
      <c r="T75" s="63">
        <f t="shared" si="32"/>
        <v>0</v>
      </c>
      <c r="U75" s="91">
        <f t="shared" si="33"/>
        <v>317.81062500000007</v>
      </c>
      <c r="V75" s="63">
        <f t="shared" si="34"/>
        <v>0</v>
      </c>
      <c r="W75" s="95">
        <f t="shared" si="35"/>
        <v>0</v>
      </c>
      <c r="X75" s="154">
        <f t="shared" si="36"/>
        <v>-200.60249999999985</v>
      </c>
      <c r="Y75" s="154">
        <f t="shared" si="24"/>
        <v>-200.60249999999985</v>
      </c>
      <c r="Z75" s="48">
        <f>IF(OR(B75="",NOT($H75="")),"",ROUND(_xlfn.FORECAST.LINEAR($I75,INDEX(Z$3:Z$13,MATCH($I75,$Y$3:$Y$13,1)):INDEX(Z$3:Z$13,MATCH($I75,$Y$3:$Y$13,1)+1),INDEX($Y$3:$Y$13,MATCH($I75,$Y$3:$Y$13,1)):INDEX($Y$3:$Y$13,MATCH($I75,$Y$3:$Y$13,1)+1)),0))</f>
        <v>174</v>
      </c>
      <c r="AA75" s="41">
        <f>IF(OR(C75="",NOT($H75="")),"",ROUND(_xlfn.FORECAST.LINEAR($I75,INDEX(AA$3:AA$13,MATCH($I75,$Y$3:$Y$13,1)):INDEX(AA$3:AA$13,MATCH($I75,$Y$3:$Y$13,1)+1),INDEX($Y$3:$Y$13,MATCH($I75,$Y$3:$Y$13,1)):INDEX($Y$3:$Y$13,MATCH($I75,$Y$3:$Y$13,1)+1)),0))</f>
        <v>174</v>
      </c>
      <c r="AB75" s="40">
        <f>IF(OR(D75="",NOT($H75="")),"",ROUND(_xlfn.FORECAST.LINEAR($S75,INDEX(AB$3:AB$13,MATCH($S75,$Y$3:$Y$13,1)):INDEX(AB$3:AB$13,MATCH($S75,$Y$3:$Y$13,1)+1),INDEX($Y$3:$Y$13,MATCH($S75,$Y$3:$Y$13,1)):INDEX($Y$3:$Y$13,MATCH($S75,$Y$3:$Y$13,1)+1)),0))</f>
        <v>224</v>
      </c>
      <c r="AC75" s="48">
        <f>IF(OR(E75="",NOT($H75="")),"",ROUND(_xlfn.FORECAST.LINEAR($S75,INDEX(AC$3:AC$13,MATCH($S75,$Y$3:$Y$13,1)):INDEX(AC$3:AC$13,MATCH($S75,$Y$3:$Y$13,1)+1),INDEX($Y$3:$Y$13,MATCH($S75,$Y$3:$Y$13,1)):INDEX($Y$3:$Y$13,MATCH($S75,$Y$3:$Y$13,1)+1)),0))</f>
        <v>225</v>
      </c>
      <c r="AD75" s="48">
        <f>IF(OR(F75="",NOT($H75="")),"",ROUND(_xlfn.FORECAST.LINEAR($S75,INDEX(AD$3:AD$13,MATCH($S75,$Y$3:$Y$13,1)):INDEX(AD$3:AD$13,MATCH($S75,$Y$3:$Y$13,1)+1),INDEX($Y$3:$Y$13,MATCH($S75,$Y$3:$Y$13,1)):INDEX($Y$3:$Y$13,MATCH($S75,$Y$3:$Y$13,1)+1)),0))</f>
        <v>215</v>
      </c>
      <c r="AE75" s="49">
        <f>IF(OR(G75="",NOT($H75="")),"",ROUND(_xlfn.FORECAST.LINEAR($S75,INDEX(AE$3:AE$13,MATCH($S75,$Y$3:$Y$13,1)):INDEX(AE$3:AE$13,MATCH($S75,$Y$3:$Y$13,1)+1),INDEX($Y$3:$Y$13,MATCH($S75,$Y$3:$Y$13,1)):INDEX($Y$3:$Y$13,MATCH($S75,$Y$3:$Y$13,1)+1)),0))</f>
        <v>247</v>
      </c>
      <c r="AF75" s="26">
        <f t="shared" si="37"/>
        <v>1259</v>
      </c>
      <c r="AG75" s="12" t="str">
        <f t="shared" si="38"/>
        <v/>
      </c>
      <c r="AH75" s="14" t="str">
        <f t="shared" si="39"/>
        <v/>
      </c>
      <c r="AI75" s="12" t="str">
        <f t="shared" si="40"/>
        <v/>
      </c>
      <c r="AJ75" s="13" t="str">
        <f t="shared" si="41"/>
        <v/>
      </c>
      <c r="AK75" s="13" t="str">
        <f t="shared" si="42"/>
        <v/>
      </c>
      <c r="AL75" s="14" t="str">
        <f t="shared" si="43"/>
        <v/>
      </c>
    </row>
    <row r="76" spans="2:43" s="108" customFormat="1" ht="121.5" customHeight="1" thickTop="1" thickBot="1" x14ac:dyDescent="0.3">
      <c r="B76" s="113" t="s">
        <v>9</v>
      </c>
      <c r="C76" s="113" t="s">
        <v>10</v>
      </c>
      <c r="D76" s="113" t="s">
        <v>11</v>
      </c>
      <c r="E76" s="113" t="s">
        <v>12</v>
      </c>
      <c r="F76" s="113" t="s">
        <v>13</v>
      </c>
      <c r="G76" s="113" t="s">
        <v>14</v>
      </c>
      <c r="H76" s="113"/>
      <c r="I76" s="158" t="s">
        <v>66</v>
      </c>
      <c r="J76" s="159" t="s">
        <v>67</v>
      </c>
      <c r="K76" s="160" t="s">
        <v>67</v>
      </c>
      <c r="L76" s="161" t="s">
        <v>68</v>
      </c>
      <c r="M76" s="162" t="s">
        <v>69</v>
      </c>
      <c r="N76" s="163" t="s">
        <v>52</v>
      </c>
      <c r="O76" s="163" t="s">
        <v>53</v>
      </c>
      <c r="P76" s="160" t="s">
        <v>67</v>
      </c>
      <c r="Q76" s="157" t="s">
        <v>55</v>
      </c>
      <c r="R76" s="161" t="s">
        <v>68</v>
      </c>
      <c r="S76" s="164"/>
      <c r="T76" s="165" t="s">
        <v>58</v>
      </c>
      <c r="U76" s="166" t="s">
        <v>59</v>
      </c>
      <c r="V76" s="167" t="s">
        <v>60</v>
      </c>
      <c r="W76" s="168" t="s">
        <v>61</v>
      </c>
      <c r="X76" s="156" t="s">
        <v>62</v>
      </c>
      <c r="Y76" s="156" t="s">
        <v>63</v>
      </c>
      <c r="Z76" s="169" t="s">
        <v>9</v>
      </c>
      <c r="AA76" s="169" t="s">
        <v>10</v>
      </c>
      <c r="AB76" s="170" t="s">
        <v>11</v>
      </c>
      <c r="AC76" s="170" t="s">
        <v>12</v>
      </c>
      <c r="AD76" s="170" t="s">
        <v>13</v>
      </c>
      <c r="AE76" s="171" t="s">
        <v>14</v>
      </c>
      <c r="AF76" s="172">
        <f>MIN(AF18:AF75)</f>
        <v>344</v>
      </c>
      <c r="AG76" s="173" t="s">
        <v>64</v>
      </c>
      <c r="AH76" s="174" t="str">
        <f>IF(AND($AF77=$AF$17,C76=1),C$9,"")</f>
        <v/>
      </c>
      <c r="AI76" s="175" t="s">
        <v>25</v>
      </c>
      <c r="AJ76" s="176" t="str">
        <f>IF(AND($AF77=$AF$17,E76=1),E$9,"")</f>
        <v/>
      </c>
      <c r="AK76" s="177"/>
      <c r="AL76" s="178"/>
    </row>
    <row r="77" spans="2:43" s="108" customFormat="1" ht="39" thickTop="1" thickBot="1" x14ac:dyDescent="0.3">
      <c r="B77" s="179" t="s">
        <v>37</v>
      </c>
      <c r="C77" s="180"/>
      <c r="D77" s="179" t="s">
        <v>39</v>
      </c>
      <c r="E77" s="181"/>
      <c r="F77" s="181"/>
      <c r="G77" s="182"/>
      <c r="J77" s="183" t="s">
        <v>36</v>
      </c>
      <c r="K77" s="179" t="s">
        <v>37</v>
      </c>
      <c r="L77" s="180"/>
      <c r="M77" s="184" t="s">
        <v>38</v>
      </c>
      <c r="N77" s="185"/>
      <c r="O77" s="185"/>
      <c r="P77" s="179" t="s">
        <v>39</v>
      </c>
      <c r="Q77" s="157"/>
      <c r="R77" s="180"/>
      <c r="S77" s="186"/>
      <c r="T77" s="187" t="s">
        <v>40</v>
      </c>
      <c r="U77" s="188"/>
      <c r="V77" s="187" t="s">
        <v>41</v>
      </c>
      <c r="W77" s="188"/>
      <c r="X77" s="156"/>
      <c r="Y77" s="156"/>
      <c r="Z77" s="189" t="s">
        <v>44</v>
      </c>
      <c r="AA77" s="190"/>
      <c r="AB77" s="190"/>
      <c r="AC77" s="190"/>
      <c r="AD77" s="190"/>
      <c r="AE77" s="191"/>
      <c r="AF77" s="172" t="s">
        <v>45</v>
      </c>
      <c r="AG77" s="192" t="s">
        <v>46</v>
      </c>
      <c r="AH77" s="193"/>
      <c r="AI77" s="193"/>
      <c r="AJ77" s="193"/>
      <c r="AK77" s="193"/>
      <c r="AL77" s="194"/>
    </row>
    <row r="78" spans="2:43" ht="15.75" thickTop="1" x14ac:dyDescent="0.25">
      <c r="S78"/>
      <c r="Y78" s="18"/>
    </row>
    <row r="79" spans="2:43" x14ac:dyDescent="0.25">
      <c r="S79"/>
    </row>
    <row r="80" spans="2:43" x14ac:dyDescent="0.25">
      <c r="I80" s="106"/>
      <c r="S80"/>
    </row>
    <row r="81" spans="2:27" x14ac:dyDescent="0.25">
      <c r="I81" s="106"/>
      <c r="S81"/>
      <c r="AA81" s="18"/>
    </row>
    <row r="82" spans="2:27" x14ac:dyDescent="0.25">
      <c r="S82"/>
    </row>
    <row r="83" spans="2:27" x14ac:dyDescent="0.25">
      <c r="S83"/>
    </row>
    <row r="84" spans="2:27" x14ac:dyDescent="0.25">
      <c r="S84"/>
      <c r="V84" s="1" t="s">
        <v>112</v>
      </c>
    </row>
    <row r="85" spans="2:27" x14ac:dyDescent="0.25">
      <c r="B85"/>
      <c r="C85"/>
    </row>
  </sheetData>
  <conditionalFormatting sqref="A9:C9 E9:H9 J11 I12 B17:C17 E17:G17 I17:J17 M17:Q17 S17 I76:J76 M76:O76 Z18:AE76 AF16 J14 A12:G12 A13">
    <cfRule type="cellIs" dxfId="58" priority="489" operator="equal">
      <formula>1</formula>
    </cfRule>
  </conditionalFormatting>
  <conditionalFormatting sqref="A14:I14">
    <cfRule type="cellIs" dxfId="57" priority="78" operator="equal">
      <formula>1</formula>
    </cfRule>
  </conditionalFormatting>
  <conditionalFormatting sqref="B76:C76 E76:G76 AF77">
    <cfRule type="cellIs" dxfId="56" priority="63" operator="equal">
      <formula>1</formula>
    </cfRule>
  </conditionalFormatting>
  <conditionalFormatting sqref="B18:G75">
    <cfRule type="expression" dxfId="55" priority="15">
      <formula>AND(B18=1,$AF18=$AF$17)</formula>
    </cfRule>
  </conditionalFormatting>
  <conditionalFormatting sqref="B18:G76">
    <cfRule type="cellIs" dxfId="54" priority="72" operator="equal">
      <formula>1</formula>
    </cfRule>
  </conditionalFormatting>
  <conditionalFormatting sqref="C76 E76:G76">
    <cfRule type="cellIs" dxfId="53" priority="62" operator="equal">
      <formula>1</formula>
    </cfRule>
    <cfRule type="cellIs" dxfId="52" priority="61" operator="equal">
      <formula>0</formula>
    </cfRule>
  </conditionalFormatting>
  <conditionalFormatting sqref="E9:H9 N1 A9:C9 J11 I11:I12 C17 E17:G17 I17:J17 M17:Q17 S17 I76:J76 M76:O76">
    <cfRule type="cellIs" dxfId="51" priority="487" operator="equal">
      <formula>1</formula>
    </cfRule>
  </conditionalFormatting>
  <conditionalFormatting sqref="H9">
    <cfRule type="cellIs" dxfId="50" priority="367" operator="equal">
      <formula>1</formula>
    </cfRule>
  </conditionalFormatting>
  <conditionalFormatting sqref="H18:H76">
    <cfRule type="cellIs" dxfId="49" priority="70" operator="notEqual">
      <formula>""</formula>
    </cfRule>
  </conditionalFormatting>
  <conditionalFormatting sqref="H14:I14">
    <cfRule type="cellIs" dxfId="48" priority="77" operator="equal">
      <formula>1</formula>
    </cfRule>
  </conditionalFormatting>
  <conditionalFormatting sqref="H18:I75">
    <cfRule type="expression" dxfId="47" priority="14">
      <formula>$AF18=$AF$17</formula>
    </cfRule>
  </conditionalFormatting>
  <conditionalFormatting sqref="H14:J14">
    <cfRule type="cellIs" dxfId="46" priority="76" operator="equal">
      <formula>0</formula>
    </cfRule>
    <cfRule type="cellIs" dxfId="45" priority="79" operator="equal">
      <formula>1</formula>
    </cfRule>
  </conditionalFormatting>
  <conditionalFormatting sqref="I18:I75">
    <cfRule type="expression" dxfId="44" priority="71">
      <formula>"NOT($H17="""")"</formula>
    </cfRule>
    <cfRule type="expression" dxfId="43" priority="46">
      <formula>$I18&gt;100%</formula>
    </cfRule>
  </conditionalFormatting>
  <conditionalFormatting sqref="J18:J75">
    <cfRule type="expression" dxfId="42" priority="1237">
      <formula>$J18&lt;$R$8</formula>
    </cfRule>
  </conditionalFormatting>
  <conditionalFormatting sqref="L18:L75">
    <cfRule type="expression" dxfId="41" priority="1047">
      <formula>$L18&gt;$K18</formula>
    </cfRule>
  </conditionalFormatting>
  <conditionalFormatting sqref="M18:M75">
    <cfRule type="expression" dxfId="40" priority="1225">
      <formula>($M18+$U18+$W18)&lt;0</formula>
    </cfRule>
    <cfRule type="expression" dxfId="39" priority="1226">
      <formula>($M18-$T18-$V18)&gt;0</formula>
    </cfRule>
  </conditionalFormatting>
  <conditionalFormatting sqref="R18:R75">
    <cfRule type="expression" dxfId="38" priority="1097">
      <formula>$R18&gt;$P18</formula>
    </cfRule>
  </conditionalFormatting>
  <conditionalFormatting sqref="S18:S75">
    <cfRule type="expression" dxfId="37" priority="13">
      <formula>$AF18=$AF$17</formula>
    </cfRule>
    <cfRule type="expression" dxfId="36" priority="44">
      <formula>$I18&gt;100%</formula>
    </cfRule>
    <cfRule type="expression" dxfId="35" priority="45">
      <formula>$H18&lt;&gt;""</formula>
    </cfRule>
  </conditionalFormatting>
  <conditionalFormatting sqref="T18:T75 V18:V75">
    <cfRule type="expression" dxfId="34" priority="1205">
      <formula>($M18-$T$18-$V$18)&gt;0</formula>
    </cfRule>
  </conditionalFormatting>
  <conditionalFormatting sqref="T18:Y75">
    <cfRule type="expression" dxfId="33" priority="20">
      <formula>AND(T18&gt;0,$AF18=$AF$17)</formula>
    </cfRule>
  </conditionalFormatting>
  <conditionalFormatting sqref="U18:U75 W18:X75">
    <cfRule type="expression" dxfId="32" priority="1227">
      <formula>($M18+$U18+$W18)&lt;0</formula>
    </cfRule>
  </conditionalFormatting>
  <conditionalFormatting sqref="X18:X75">
    <cfRule type="expression" dxfId="31" priority="1250">
      <formula>$X18&gt;$H$11</formula>
    </cfRule>
    <cfRule type="expression" dxfId="30" priority="1248">
      <formula>AND(T18&gt;0,$AF18=$AF$17)</formula>
    </cfRule>
    <cfRule type="expression" dxfId="29" priority="1249">
      <formula>$X18&lt;$Q$5</formula>
    </cfRule>
  </conditionalFormatting>
  <conditionalFormatting sqref="Y18:Y75">
    <cfRule type="expression" dxfId="28" priority="65">
      <formula>$Y18&gt;$H$11</formula>
    </cfRule>
    <cfRule type="expression" dxfId="27" priority="21">
      <formula>$Y18&lt;$Q$5</formula>
    </cfRule>
  </conditionalFormatting>
  <conditionalFormatting sqref="Z18:AE76 N1 A9:C9 E9:H9 J11 I11:I12 C17 E17:G17 I17:J17 M17:Q17 S17 I76:J76 M76:O76">
    <cfRule type="cellIs" dxfId="26" priority="486" operator="equal">
      <formula>0</formula>
    </cfRule>
  </conditionalFormatting>
  <conditionalFormatting sqref="Z18:AE76">
    <cfRule type="cellIs" dxfId="25" priority="481" operator="equal">
      <formula>1</formula>
    </cfRule>
    <cfRule type="cellIs" dxfId="24" priority="1015" operator="equal">
      <formula>$I$20</formula>
    </cfRule>
    <cfRule type="cellIs" dxfId="23" priority="120" operator="equal">
      <formula>#REF!</formula>
    </cfRule>
  </conditionalFormatting>
  <conditionalFormatting sqref="AC43">
    <cfRule type="cellIs" dxfId="22" priority="40" operator="equal">
      <formula>#REF!</formula>
    </cfRule>
  </conditionalFormatting>
  <conditionalFormatting sqref="AD78:AD1048576">
    <cfRule type="cellIs" dxfId="21" priority="162" operator="equal">
      <formula>#REF!</formula>
    </cfRule>
  </conditionalFormatting>
  <conditionalFormatting sqref="AF16">
    <cfRule type="cellIs" dxfId="20" priority="1021" operator="equal">
      <formula>$I$19</formula>
    </cfRule>
    <cfRule type="expression" dxfId="19" priority="145">
      <formula>"MIN($S$16:$S$73)"</formula>
    </cfRule>
  </conditionalFormatting>
  <conditionalFormatting sqref="AF16:AF17">
    <cfRule type="cellIs" dxfId="18" priority="158" operator="equal">
      <formula>0</formula>
    </cfRule>
    <cfRule type="cellIs" dxfId="17" priority="159" operator="equal">
      <formula>1</formula>
    </cfRule>
  </conditionalFormatting>
  <conditionalFormatting sqref="AF18:AF75">
    <cfRule type="expression" dxfId="16" priority="1008">
      <formula>$AF18=$AF$17</formula>
    </cfRule>
  </conditionalFormatting>
  <conditionalFormatting sqref="AF76:AF77">
    <cfRule type="cellIs" dxfId="15" priority="58" operator="equal">
      <formula>0</formula>
    </cfRule>
    <cfRule type="cellIs" dxfId="14" priority="59" operator="equal">
      <formula>1</formula>
    </cfRule>
  </conditionalFormatting>
  <conditionalFormatting sqref="AF77">
    <cfRule type="cellIs" dxfId="13" priority="64" operator="equal">
      <formula>$I$19</formula>
    </cfRule>
    <cfRule type="expression" dxfId="12" priority="57">
      <formula>"MIN($S$16:$S$73)"</formula>
    </cfRule>
  </conditionalFormatting>
  <conditionalFormatting sqref="AG18:AL75 AM30 AN42 AM54 AM64">
    <cfRule type="cellIs" dxfId="11" priority="52" operator="notEqual">
      <formula>""</formula>
    </cfRule>
  </conditionalFormatting>
  <conditionalFormatting sqref="AK20">
    <cfRule type="expression" dxfId="10" priority="373">
      <formula>"IF($T$20='Skandi Africa (2)'!$X$18)"</formula>
    </cfRule>
  </conditionalFormatting>
  <conditionalFormatting sqref="AM38">
    <cfRule type="cellIs" dxfId="9" priority="6" operator="notEqual">
      <formula>""</formula>
    </cfRule>
  </conditionalFormatting>
  <conditionalFormatting sqref="AM43">
    <cfRule type="cellIs" dxfId="8" priority="4" operator="notEqual">
      <formula>""</formula>
    </cfRule>
  </conditionalFormatting>
  <conditionalFormatting sqref="AM47">
    <cfRule type="cellIs" dxfId="7" priority="2" operator="notEqual">
      <formula>""</formula>
    </cfRule>
  </conditionalFormatting>
  <conditionalFormatting sqref="AM57">
    <cfRule type="cellIs" dxfId="6" priority="8" operator="notEqual">
      <formula>""</formula>
    </cfRule>
  </conditionalFormatting>
  <conditionalFormatting sqref="AM59">
    <cfRule type="cellIs" dxfId="5" priority="10" operator="notEqual">
      <formula>""</formula>
    </cfRule>
  </conditionalFormatting>
  <conditionalFormatting sqref="AM70">
    <cfRule type="cellIs" dxfId="4" priority="9" operator="notEqual">
      <formula>""</formula>
    </cfRule>
  </conditionalFormatting>
  <conditionalFormatting sqref="AM72">
    <cfRule type="cellIs" dxfId="3" priority="7" operator="notEqual">
      <formula>""</formula>
    </cfRule>
  </conditionalFormatting>
  <conditionalFormatting sqref="AM43:AN43">
    <cfRule type="top10" dxfId="2" priority="3" percent="1" rank="10"/>
  </conditionalFormatting>
  <conditionalFormatting sqref="AM47:AN47">
    <cfRule type="top10" dxfId="1" priority="1" percent="1" rank="10"/>
  </conditionalFormatting>
  <conditionalFormatting sqref="AM38:AO38">
    <cfRule type="top10" dxfId="0" priority="5" percent="1" rank="1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7950-F5A9-4E41-B8A0-D4F3F57913B2}">
  <dimension ref="A1:N23"/>
  <sheetViews>
    <sheetView workbookViewId="0">
      <selection activeCell="L8" sqref="L8"/>
    </sheetView>
  </sheetViews>
  <sheetFormatPr defaultRowHeight="15" x14ac:dyDescent="0.25"/>
  <cols>
    <col min="1" max="1" width="21" customWidth="1"/>
    <col min="2" max="2" width="25.5703125" customWidth="1"/>
    <col min="3" max="3" width="14.85546875" style="112" customWidth="1"/>
    <col min="4" max="4" width="11.28515625" customWidth="1"/>
    <col min="5" max="5" width="14.7109375" customWidth="1"/>
    <col min="6" max="6" width="38.5703125" customWidth="1"/>
    <col min="7" max="7" width="16" style="112" customWidth="1"/>
    <col min="8" max="8" width="14.7109375" customWidth="1"/>
    <col min="9" max="9" width="13.42578125" customWidth="1"/>
    <col min="10" max="10" width="13.140625" customWidth="1"/>
    <col min="11" max="11" width="14.28515625" customWidth="1"/>
    <col min="12" max="12" width="15.7109375" customWidth="1"/>
    <col min="13" max="13" width="89.28515625" customWidth="1"/>
  </cols>
  <sheetData>
    <row r="1" spans="1:14" ht="15.75" thickBot="1" x14ac:dyDescent="0.3"/>
    <row r="2" spans="1:14" s="108" customFormat="1" ht="106.5" thickTop="1" thickBot="1" x14ac:dyDescent="0.3">
      <c r="A2" s="117"/>
      <c r="B2" s="117"/>
      <c r="C2" s="116"/>
      <c r="D2" s="117"/>
      <c r="E2" s="117"/>
      <c r="F2" s="117"/>
      <c r="G2" s="116" t="s">
        <v>70</v>
      </c>
      <c r="H2" s="117"/>
      <c r="I2" s="117"/>
      <c r="J2" s="117"/>
      <c r="K2" s="117"/>
      <c r="L2" s="117"/>
      <c r="M2" s="117"/>
    </row>
    <row r="3" spans="1:14" s="111" customFormat="1" ht="91.5" thickTop="1" thickBot="1" x14ac:dyDescent="0.3">
      <c r="A3" s="117" t="s">
        <v>71</v>
      </c>
      <c r="B3" s="116" t="s">
        <v>72</v>
      </c>
      <c r="C3" s="116"/>
      <c r="D3" s="116" t="s">
        <v>73</v>
      </c>
      <c r="E3" s="116" t="s">
        <v>74</v>
      </c>
      <c r="F3" s="116" t="s">
        <v>75</v>
      </c>
      <c r="G3" s="116" t="s">
        <v>76</v>
      </c>
      <c r="H3" s="116" t="s">
        <v>77</v>
      </c>
      <c r="I3" s="116" t="s">
        <v>78</v>
      </c>
      <c r="J3" s="116" t="s">
        <v>79</v>
      </c>
      <c r="K3" s="116" t="s">
        <v>80</v>
      </c>
      <c r="L3" s="116" t="s">
        <v>81</v>
      </c>
      <c r="M3" s="116" t="s">
        <v>82</v>
      </c>
    </row>
    <row r="4" spans="1:14" s="111" customFormat="1" ht="16.5" thickTop="1" thickBot="1" x14ac:dyDescent="0.3">
      <c r="A4" s="110"/>
      <c r="B4" s="109"/>
      <c r="D4" s="109"/>
      <c r="E4" s="109"/>
      <c r="F4" s="115"/>
      <c r="G4" s="109"/>
      <c r="I4" s="109"/>
      <c r="J4" s="109"/>
      <c r="K4" s="114">
        <f>'Optimal Setup'!I2</f>
        <v>1260</v>
      </c>
      <c r="L4" s="109"/>
      <c r="M4" s="110" t="s">
        <v>7</v>
      </c>
      <c r="N4" s="107"/>
    </row>
    <row r="5" spans="1:14" s="108" customFormat="1" ht="16.5" thickTop="1" thickBot="1" x14ac:dyDescent="0.3">
      <c r="A5" s="118" t="s">
        <v>83</v>
      </c>
      <c r="B5" s="118" t="s">
        <v>84</v>
      </c>
      <c r="C5" s="121" t="s">
        <v>85</v>
      </c>
      <c r="D5" s="124">
        <f>IF(C5="RESERVE",100%,50%)</f>
        <v>1</v>
      </c>
      <c r="E5" s="121">
        <f>'Optimal Setup'!O2</f>
        <v>0</v>
      </c>
      <c r="F5" s="122" t="s">
        <v>86</v>
      </c>
      <c r="G5" s="121">
        <f>E5+'Optimal Setup'!P2*E5</f>
        <v>0</v>
      </c>
      <c r="H5" s="114">
        <f>G5</f>
        <v>0</v>
      </c>
      <c r="I5" s="114">
        <f>MIN(K4,H5)</f>
        <v>0</v>
      </c>
      <c r="J5" s="113">
        <f>I5*D5</f>
        <v>0</v>
      </c>
      <c r="K5" s="114">
        <f>IF(K4-I5&gt;0,K4-I5,0)</f>
        <v>1260</v>
      </c>
      <c r="L5" s="113">
        <f>H5-I5*D5</f>
        <v>0</v>
      </c>
      <c r="M5" s="111"/>
    </row>
    <row r="6" spans="1:14" s="108" customFormat="1" ht="31.5" thickTop="1" thickBot="1" x14ac:dyDescent="0.3">
      <c r="A6" s="118"/>
      <c r="B6" s="119" t="s">
        <v>87</v>
      </c>
      <c r="C6" s="121" t="s">
        <v>88</v>
      </c>
      <c r="D6" s="124">
        <f>IF(C6="RESERVES",100%,50%)</f>
        <v>0.5</v>
      </c>
      <c r="E6" s="121">
        <f>'Optimal Setup'!O3</f>
        <v>0</v>
      </c>
      <c r="F6" s="122" t="s">
        <v>89</v>
      </c>
      <c r="G6" s="121">
        <f>E6+'Optimal Setup'!P3*E6</f>
        <v>0</v>
      </c>
      <c r="H6" s="114">
        <f>G6-E6</f>
        <v>0</v>
      </c>
      <c r="I6" s="114">
        <f>MIN(K5,H6)</f>
        <v>0</v>
      </c>
      <c r="J6" s="113">
        <f>I6*D6</f>
        <v>0</v>
      </c>
      <c r="K6" s="114">
        <f>IF(K5-I6&gt;0,K5-I6,0)</f>
        <v>1260</v>
      </c>
      <c r="L6" s="113">
        <f>H6-I6*D6</f>
        <v>0</v>
      </c>
      <c r="M6" s="111"/>
    </row>
    <row r="7" spans="1:14" s="108" customFormat="1" ht="31.5" thickTop="1" thickBot="1" x14ac:dyDescent="0.3">
      <c r="A7" s="118" t="s">
        <v>90</v>
      </c>
      <c r="B7" s="119" t="s">
        <v>91</v>
      </c>
      <c r="C7" s="121" t="s">
        <v>88</v>
      </c>
      <c r="D7" s="124">
        <f>IF(C7="RESERVES",100%,50%)</f>
        <v>0.5</v>
      </c>
      <c r="E7" s="121">
        <f>'Optimal Setup'!O4</f>
        <v>0</v>
      </c>
      <c r="F7" s="122" t="s">
        <v>92</v>
      </c>
      <c r="G7" s="121">
        <f>IF(E7&gt;0,'Optimal Setup'!I3,0)</f>
        <v>0</v>
      </c>
      <c r="H7" s="114">
        <f>G7-0</f>
        <v>0</v>
      </c>
      <c r="I7" s="114">
        <f>MIN(K6,H7)</f>
        <v>0</v>
      </c>
      <c r="J7" s="113">
        <f>I7*D7</f>
        <v>0</v>
      </c>
      <c r="K7" s="114">
        <f>IF(K6-I7&gt;0,K6-I7,0)</f>
        <v>1260</v>
      </c>
      <c r="L7" s="113">
        <f>H7-I7*D7</f>
        <v>0</v>
      </c>
      <c r="M7" s="108" t="s">
        <v>93</v>
      </c>
    </row>
    <row r="8" spans="1:14" s="108" customFormat="1" ht="16.5" thickTop="1" thickBot="1" x14ac:dyDescent="0.3">
      <c r="A8" s="118" t="s">
        <v>94</v>
      </c>
      <c r="B8" s="119" t="s">
        <v>95</v>
      </c>
      <c r="C8" s="121" t="s">
        <v>88</v>
      </c>
      <c r="D8" s="124">
        <v>0.35</v>
      </c>
      <c r="E8" s="121">
        <f>'Optimal Setup'!O5</f>
        <v>11463</v>
      </c>
      <c r="F8" s="123" t="s">
        <v>96</v>
      </c>
      <c r="G8" s="121">
        <f>E8+'Optimal Setup'!P5*E8</f>
        <v>12036.15</v>
      </c>
      <c r="H8" s="114">
        <f>G8-E8</f>
        <v>573.14999999999964</v>
      </c>
      <c r="I8" s="114">
        <f>MIN(K7,H8)</f>
        <v>573.14999999999964</v>
      </c>
      <c r="J8" s="127">
        <f>I8*D8</f>
        <v>200.60249999999985</v>
      </c>
      <c r="K8" s="114">
        <f>IF(K7-I8&gt;0,K7-I8,0)</f>
        <v>686.85000000000036</v>
      </c>
      <c r="L8" s="113">
        <f>H8-I8*D8</f>
        <v>372.54749999999979</v>
      </c>
      <c r="M8" s="126" t="s">
        <v>97</v>
      </c>
    </row>
    <row r="9" spans="1:14" s="108" customFormat="1" ht="16.5" thickTop="1" thickBot="1" x14ac:dyDescent="0.3">
      <c r="A9" s="118" t="s">
        <v>98</v>
      </c>
      <c r="B9" s="119" t="s">
        <v>99</v>
      </c>
      <c r="C9" s="121" t="s">
        <v>88</v>
      </c>
      <c r="D9" s="124">
        <v>0.05</v>
      </c>
      <c r="E9" s="121">
        <f>'Optimal Setup'!O6</f>
        <v>3800</v>
      </c>
      <c r="F9" s="123" t="s">
        <v>100</v>
      </c>
      <c r="G9" s="121">
        <f>E9+'Optimal Setup'!P6*E9</f>
        <v>3876</v>
      </c>
      <c r="H9" s="114">
        <f>G9-E9</f>
        <v>76</v>
      </c>
      <c r="I9" s="114">
        <f>MIN(K8,H9)</f>
        <v>76</v>
      </c>
      <c r="J9" s="113">
        <f>I9*D9</f>
        <v>3.8000000000000003</v>
      </c>
      <c r="K9" s="114">
        <f>IF(K8-I9&gt;0,K8-I9,0)</f>
        <v>610.85000000000036</v>
      </c>
      <c r="L9" s="113">
        <f>H9-I9*D9</f>
        <v>72.2</v>
      </c>
      <c r="M9" s="108" t="s">
        <v>101</v>
      </c>
    </row>
    <row r="10" spans="1:14" s="108" customFormat="1" ht="16.5" thickTop="1" thickBot="1" x14ac:dyDescent="0.3">
      <c r="A10" s="117"/>
      <c r="B10" s="117"/>
      <c r="C10" s="120"/>
      <c r="D10" s="120"/>
      <c r="E10" s="120"/>
      <c r="F10" s="120"/>
      <c r="G10" s="120"/>
      <c r="H10" s="116"/>
      <c r="I10" s="113">
        <f>SUM(I5:I9)</f>
        <v>649.14999999999964</v>
      </c>
      <c r="J10" s="113">
        <f>SUM(J5:J9)</f>
        <v>204.40249999999986</v>
      </c>
      <c r="K10" s="113">
        <f>K9</f>
        <v>610.85000000000036</v>
      </c>
      <c r="L10" s="125">
        <f>SUM(L5:L9)</f>
        <v>444.74749999999977</v>
      </c>
      <c r="M10" s="126" t="s">
        <v>102</v>
      </c>
    </row>
    <row r="11" spans="1:14" s="108" customFormat="1" ht="15.75" thickTop="1" x14ac:dyDescent="0.25">
      <c r="I11" s="111"/>
      <c r="K11" s="111"/>
    </row>
    <row r="12" spans="1:14" s="108" customFormat="1" ht="15.75" thickBot="1" x14ac:dyDescent="0.3">
      <c r="J12" s="111"/>
    </row>
    <row r="13" spans="1:14" s="108" customFormat="1" ht="16.5" thickTop="1" thickBot="1" x14ac:dyDescent="0.3">
      <c r="E13" s="117"/>
      <c r="K13" s="111"/>
    </row>
    <row r="14" spans="1:14" s="108" customFormat="1" ht="15.75" thickTop="1" x14ac:dyDescent="0.25">
      <c r="E14" s="109"/>
      <c r="G14" s="111"/>
    </row>
    <row r="15" spans="1:14" s="108" customFormat="1" x14ac:dyDescent="0.25">
      <c r="H15" s="111"/>
    </row>
    <row r="16" spans="1:14" x14ac:dyDescent="0.25">
      <c r="A16" s="108"/>
      <c r="B16" s="108"/>
      <c r="C16" s="108"/>
      <c r="G16"/>
      <c r="H16" s="112"/>
    </row>
    <row r="17" spans="1:7" x14ac:dyDescent="0.25">
      <c r="A17" s="108"/>
      <c r="B17" s="108"/>
      <c r="C17" s="108"/>
      <c r="F17" s="112"/>
    </row>
    <row r="18" spans="1:7" x14ac:dyDescent="0.25">
      <c r="C18" s="108"/>
      <c r="F18" s="112"/>
    </row>
    <row r="19" spans="1:7" x14ac:dyDescent="0.25">
      <c r="C19"/>
      <c r="F19" s="112"/>
    </row>
    <row r="20" spans="1:7" x14ac:dyDescent="0.25">
      <c r="F20" s="112"/>
    </row>
    <row r="21" spans="1:7" ht="15.75" thickBot="1" x14ac:dyDescent="0.3">
      <c r="E21" s="120"/>
      <c r="F21" s="112"/>
    </row>
    <row r="22" spans="1:7" ht="15.75" thickTop="1" x14ac:dyDescent="0.25">
      <c r="F22" s="112"/>
      <c r="G22"/>
    </row>
    <row r="23" spans="1:7" x14ac:dyDescent="0.25">
      <c r="F23" s="112"/>
      <c r="G23"/>
    </row>
  </sheetData>
  <pageMargins left="0.7" right="0.7" top="0.75" bottom="0.75" header="0.3" footer="0.3"/>
  <pageSetup paperSize="9" orientation="portrait" horizontalDpi="4294967293" verticalDpi="0" r:id="rId1"/>
  <ignoredErrors>
    <ignoredError sqref="H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B473-D399-40DE-AC10-1EFA3F973004}">
  <dimension ref="A1:Q36"/>
  <sheetViews>
    <sheetView workbookViewId="0">
      <selection activeCell="J37" sqref="J37"/>
    </sheetView>
  </sheetViews>
  <sheetFormatPr defaultRowHeight="15" x14ac:dyDescent="0.25"/>
  <cols>
    <col min="10" max="10" width="10.140625" bestFit="1" customWidth="1"/>
    <col min="11" max="11" width="10.5703125" bestFit="1" customWidth="1"/>
  </cols>
  <sheetData>
    <row r="1" spans="1:12" ht="15.75" x14ac:dyDescent="0.25">
      <c r="A1" s="85" t="s">
        <v>103</v>
      </c>
    </row>
    <row r="3" spans="1:12" x14ac:dyDescent="0.25">
      <c r="A3" t="s">
        <v>104</v>
      </c>
    </row>
    <row r="4" spans="1:12" x14ac:dyDescent="0.25">
      <c r="A4" s="197" t="s">
        <v>105</v>
      </c>
      <c r="B4" s="198"/>
      <c r="C4" s="4"/>
      <c r="D4" s="197" t="s">
        <v>106</v>
      </c>
      <c r="E4" s="198"/>
      <c r="F4" s="4"/>
      <c r="G4" s="197" t="s">
        <v>107</v>
      </c>
      <c r="H4" s="198"/>
      <c r="I4" s="4"/>
      <c r="J4" s="197" t="s">
        <v>108</v>
      </c>
      <c r="K4" s="198"/>
    </row>
    <row r="5" spans="1:12" ht="15.75" thickBot="1" x14ac:dyDescent="0.3">
      <c r="A5" s="5" t="s">
        <v>5</v>
      </c>
      <c r="B5" s="5" t="s">
        <v>6</v>
      </c>
      <c r="C5" s="4"/>
      <c r="D5" s="5" t="s">
        <v>5</v>
      </c>
      <c r="E5" s="5" t="s">
        <v>6</v>
      </c>
      <c r="F5" s="4"/>
      <c r="G5" s="5" t="s">
        <v>5</v>
      </c>
      <c r="H5" s="5" t="s">
        <v>6</v>
      </c>
      <c r="I5" s="4"/>
      <c r="J5" s="5" t="s">
        <v>5</v>
      </c>
      <c r="K5" s="5" t="s">
        <v>6</v>
      </c>
    </row>
    <row r="6" spans="1:12" ht="16.5" thickTop="1" thickBot="1" x14ac:dyDescent="0.3">
      <c r="A6" s="97">
        <v>0.1</v>
      </c>
      <c r="B6" s="98">
        <f>INTERCEPT(B7:B8,A7:A8)</f>
        <v>305.30000000000007</v>
      </c>
      <c r="C6" s="99"/>
      <c r="D6" s="97">
        <v>0.1</v>
      </c>
      <c r="E6" s="98">
        <f>INTERCEPT(E7:E8,D7:D8)</f>
        <v>299.59999999999991</v>
      </c>
      <c r="F6" s="99"/>
      <c r="G6" s="97">
        <v>0.1</v>
      </c>
      <c r="H6" s="98">
        <f>INTERCEPT(H7:H8,G7:G8)</f>
        <v>315.79999999999995</v>
      </c>
      <c r="I6" s="99"/>
      <c r="J6" s="97">
        <v>0.1</v>
      </c>
      <c r="K6" s="98">
        <f>INTERCEPT(K7:K8,J7:J8)</f>
        <v>308.39999999999998</v>
      </c>
      <c r="L6" s="100"/>
    </row>
    <row r="7" spans="1:12" ht="15.75" thickTop="1" x14ac:dyDescent="0.25">
      <c r="A7" s="97">
        <v>10</v>
      </c>
      <c r="B7" s="101">
        <v>285.10000000000002</v>
      </c>
      <c r="C7" s="99"/>
      <c r="D7" s="97">
        <v>10</v>
      </c>
      <c r="E7" s="101">
        <v>285.39999999999998</v>
      </c>
      <c r="F7" s="99"/>
      <c r="G7" s="97">
        <v>10</v>
      </c>
      <c r="H7" s="101">
        <v>289.89999999999998</v>
      </c>
      <c r="I7" s="99"/>
      <c r="J7" s="97">
        <v>10</v>
      </c>
      <c r="K7" s="101">
        <v>284.39999999999998</v>
      </c>
      <c r="L7" s="100"/>
    </row>
    <row r="8" spans="1:12" x14ac:dyDescent="0.25">
      <c r="A8" s="97">
        <v>20</v>
      </c>
      <c r="B8" s="101">
        <v>264.89999999999998</v>
      </c>
      <c r="C8" s="99"/>
      <c r="D8" s="97">
        <v>20</v>
      </c>
      <c r="E8" s="101">
        <v>271.2</v>
      </c>
      <c r="F8" s="99"/>
      <c r="G8" s="97">
        <v>20</v>
      </c>
      <c r="H8" s="101">
        <v>264</v>
      </c>
      <c r="I8" s="99"/>
      <c r="J8" s="97">
        <v>20</v>
      </c>
      <c r="K8" s="101">
        <v>260.39999999999998</v>
      </c>
      <c r="L8" s="100"/>
    </row>
    <row r="9" spans="1:12" x14ac:dyDescent="0.25">
      <c r="A9" s="97">
        <v>30</v>
      </c>
      <c r="B9" s="101">
        <v>244.9</v>
      </c>
      <c r="C9" s="99"/>
      <c r="D9" s="97">
        <v>30</v>
      </c>
      <c r="E9" s="101">
        <v>249.6</v>
      </c>
      <c r="F9" s="99"/>
      <c r="G9" s="97">
        <v>30</v>
      </c>
      <c r="H9" s="101">
        <v>244.8</v>
      </c>
      <c r="I9" s="99"/>
      <c r="J9" s="97">
        <v>30</v>
      </c>
      <c r="K9" s="101">
        <v>240.3</v>
      </c>
      <c r="L9" s="100"/>
    </row>
    <row r="10" spans="1:12" x14ac:dyDescent="0.25">
      <c r="A10" s="97">
        <v>40</v>
      </c>
      <c r="B10" s="101">
        <v>227.5</v>
      </c>
      <c r="C10" s="99"/>
      <c r="D10" s="97">
        <v>40</v>
      </c>
      <c r="E10" s="101">
        <v>231.7</v>
      </c>
      <c r="F10" s="99"/>
      <c r="G10" s="97">
        <v>40</v>
      </c>
      <c r="H10" s="101">
        <v>226.2</v>
      </c>
      <c r="I10" s="99"/>
      <c r="J10" s="97">
        <v>40</v>
      </c>
      <c r="K10" s="101">
        <v>229.2</v>
      </c>
      <c r="L10" s="100"/>
    </row>
    <row r="11" spans="1:12" x14ac:dyDescent="0.25">
      <c r="A11" s="97">
        <v>50</v>
      </c>
      <c r="B11" s="101">
        <v>219.5</v>
      </c>
      <c r="C11" s="99"/>
      <c r="D11" s="97">
        <v>50</v>
      </c>
      <c r="E11" s="101">
        <v>222.5</v>
      </c>
      <c r="F11" s="99"/>
      <c r="G11" s="97">
        <v>50</v>
      </c>
      <c r="H11" s="101">
        <v>218.2</v>
      </c>
      <c r="I11" s="99"/>
      <c r="J11" s="97">
        <v>50</v>
      </c>
      <c r="K11" s="101">
        <v>218.3</v>
      </c>
      <c r="L11" s="100"/>
    </row>
    <row r="12" spans="1:12" x14ac:dyDescent="0.25">
      <c r="A12" s="97">
        <v>60</v>
      </c>
      <c r="B12" s="101">
        <v>214</v>
      </c>
      <c r="C12" s="99"/>
      <c r="D12" s="97">
        <v>60</v>
      </c>
      <c r="E12" s="101">
        <v>214</v>
      </c>
      <c r="F12" s="99"/>
      <c r="G12" s="97">
        <v>60</v>
      </c>
      <c r="H12" s="101">
        <v>211.3</v>
      </c>
      <c r="I12" s="99"/>
      <c r="J12" s="97">
        <v>60</v>
      </c>
      <c r="K12" s="101">
        <v>213.2</v>
      </c>
      <c r="L12" s="100"/>
    </row>
    <row r="13" spans="1:12" x14ac:dyDescent="0.25">
      <c r="A13" s="97">
        <v>70</v>
      </c>
      <c r="B13" s="101">
        <v>209.2</v>
      </c>
      <c r="C13" s="99"/>
      <c r="D13" s="97">
        <v>70</v>
      </c>
      <c r="E13" s="101">
        <v>210.3</v>
      </c>
      <c r="F13" s="99"/>
      <c r="G13" s="97">
        <v>70</v>
      </c>
      <c r="H13" s="101">
        <v>207.5</v>
      </c>
      <c r="I13" s="99"/>
      <c r="J13" s="97">
        <v>70</v>
      </c>
      <c r="K13" s="101">
        <v>208.5</v>
      </c>
      <c r="L13" s="100"/>
    </row>
    <row r="14" spans="1:12" x14ac:dyDescent="0.25">
      <c r="A14" s="97">
        <v>80</v>
      </c>
      <c r="B14" s="101">
        <v>206.8</v>
      </c>
      <c r="C14" s="99"/>
      <c r="D14" s="97">
        <v>80</v>
      </c>
      <c r="E14" s="101">
        <v>205.4</v>
      </c>
      <c r="F14" s="99"/>
      <c r="G14" s="97">
        <v>80</v>
      </c>
      <c r="H14" s="101">
        <v>208.4</v>
      </c>
      <c r="I14" s="99"/>
      <c r="J14" s="97">
        <v>80</v>
      </c>
      <c r="K14" s="101">
        <v>207.2</v>
      </c>
      <c r="L14" s="100"/>
    </row>
    <row r="15" spans="1:12" ht="15.75" thickBot="1" x14ac:dyDescent="0.3">
      <c r="A15" s="97">
        <v>90</v>
      </c>
      <c r="B15" s="101">
        <v>213.1</v>
      </c>
      <c r="C15" s="99"/>
      <c r="D15" s="97">
        <v>90</v>
      </c>
      <c r="E15" s="101">
        <v>212.3</v>
      </c>
      <c r="F15" s="99"/>
      <c r="G15" s="97">
        <v>90</v>
      </c>
      <c r="H15" s="101">
        <v>210.3</v>
      </c>
      <c r="I15" s="99"/>
      <c r="J15" s="97">
        <v>90</v>
      </c>
      <c r="K15" s="101">
        <v>211.4</v>
      </c>
      <c r="L15" s="100"/>
    </row>
    <row r="16" spans="1:12" ht="16.5" thickTop="1" thickBot="1" x14ac:dyDescent="0.3">
      <c r="A16" s="97">
        <v>100</v>
      </c>
      <c r="B16" s="98">
        <f>_xlfn.FORECAST.LINEAR(A16,B14:B15,A14:A15)</f>
        <v>219.39999999999995</v>
      </c>
      <c r="C16" s="99"/>
      <c r="D16" s="97">
        <v>100</v>
      </c>
      <c r="E16" s="98">
        <f>_xlfn.FORECAST.LINEAR(D16,E14:E15,D14:D15)</f>
        <v>219.20000000000002</v>
      </c>
      <c r="F16" s="99"/>
      <c r="G16" s="97">
        <v>100</v>
      </c>
      <c r="H16" s="98">
        <f>_xlfn.FORECAST.LINEAR(G16,H14:H15,G14:G15)</f>
        <v>212.20000000000005</v>
      </c>
      <c r="I16" s="99"/>
      <c r="J16" s="97">
        <v>100</v>
      </c>
      <c r="K16" s="98">
        <f>_xlfn.FORECAST.LINEAR(J16,K14:K15,J14:J15)</f>
        <v>215.60000000000002</v>
      </c>
      <c r="L16" s="100"/>
    </row>
    <row r="17" spans="1:17" ht="15.75" thickTop="1" x14ac:dyDescent="0.25">
      <c r="A17" s="100"/>
      <c r="B17" s="99"/>
      <c r="C17" s="99"/>
      <c r="D17" s="99"/>
      <c r="E17" s="99"/>
      <c r="F17" s="99"/>
      <c r="G17" s="99"/>
      <c r="H17" s="99"/>
      <c r="I17" s="196"/>
      <c r="J17" s="196"/>
      <c r="K17" s="99"/>
      <c r="L17" s="100"/>
    </row>
    <row r="18" spans="1:17" x14ac:dyDescent="0.25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100"/>
    </row>
    <row r="19" spans="1:17" x14ac:dyDescent="0.25">
      <c r="A19" s="99" t="s">
        <v>109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100"/>
    </row>
    <row r="20" spans="1:17" x14ac:dyDescent="0.25">
      <c r="A20" s="199" t="s">
        <v>110</v>
      </c>
      <c r="B20" s="200"/>
      <c r="C20" s="99"/>
      <c r="D20" s="199" t="s">
        <v>111</v>
      </c>
      <c r="E20" s="200"/>
      <c r="F20" s="99"/>
      <c r="G20" s="99"/>
      <c r="H20" s="99"/>
      <c r="I20" s="196"/>
      <c r="J20" s="196"/>
      <c r="K20" s="99"/>
      <c r="L20" s="100"/>
    </row>
    <row r="21" spans="1:17" ht="15.75" thickBot="1" x14ac:dyDescent="0.3">
      <c r="A21" s="102" t="s">
        <v>5</v>
      </c>
      <c r="B21" s="102" t="s">
        <v>6</v>
      </c>
      <c r="C21" s="99"/>
      <c r="D21" s="102" t="s">
        <v>5</v>
      </c>
      <c r="E21" s="102" t="s">
        <v>6</v>
      </c>
      <c r="F21" s="99"/>
      <c r="G21" s="99"/>
      <c r="H21" s="99"/>
      <c r="I21" s="196"/>
      <c r="J21" s="196"/>
      <c r="K21" s="99"/>
      <c r="L21" s="100"/>
    </row>
    <row r="22" spans="1:17" ht="16.5" thickTop="1" thickBot="1" x14ac:dyDescent="0.3">
      <c r="A22" s="97">
        <v>0.1</v>
      </c>
      <c r="B22" s="98">
        <f>INTERCEPT(B23:B24,A23:A24)</f>
        <v>343.30000000000007</v>
      </c>
      <c r="C22" s="99">
        <v>419</v>
      </c>
      <c r="D22" s="97">
        <v>0.1</v>
      </c>
      <c r="E22" s="98">
        <f>INTERCEPT(E23:E24,D23:D24)</f>
        <v>336.09999999999991</v>
      </c>
      <c r="F22" s="99"/>
      <c r="G22" s="99"/>
      <c r="H22" s="99"/>
      <c r="I22" s="196"/>
      <c r="J22" s="196"/>
      <c r="K22" s="99"/>
      <c r="L22" s="100"/>
      <c r="Q22" s="96"/>
    </row>
    <row r="23" spans="1:17" ht="15.75" thickTop="1" x14ac:dyDescent="0.25">
      <c r="A23" s="97">
        <v>10</v>
      </c>
      <c r="B23" s="101">
        <v>318.60000000000002</v>
      </c>
      <c r="C23" s="99">
        <v>419</v>
      </c>
      <c r="D23" s="97">
        <v>10</v>
      </c>
      <c r="E23" s="101">
        <v>308.89999999999998</v>
      </c>
      <c r="F23" s="99"/>
      <c r="G23" s="99"/>
      <c r="H23" s="99"/>
      <c r="I23" s="196"/>
      <c r="J23" s="196"/>
      <c r="K23" s="99"/>
      <c r="L23" s="100"/>
      <c r="Q23" s="96"/>
    </row>
    <row r="24" spans="1:17" x14ac:dyDescent="0.25">
      <c r="A24" s="97">
        <v>20</v>
      </c>
      <c r="B24" s="101">
        <v>293.89999999999998</v>
      </c>
      <c r="C24" s="99">
        <v>838</v>
      </c>
      <c r="D24" s="97">
        <v>20</v>
      </c>
      <c r="E24" s="101">
        <v>281.7</v>
      </c>
      <c r="F24" s="99"/>
      <c r="G24" s="99"/>
      <c r="H24" s="99"/>
      <c r="I24" s="196"/>
      <c r="J24" s="196"/>
      <c r="K24" s="99"/>
      <c r="L24" s="100"/>
      <c r="Q24" s="96"/>
    </row>
    <row r="25" spans="1:17" x14ac:dyDescent="0.25">
      <c r="A25" s="97">
        <v>30</v>
      </c>
      <c r="B25" s="101">
        <v>258.5</v>
      </c>
      <c r="C25" s="99">
        <v>1257</v>
      </c>
      <c r="D25" s="97">
        <v>30</v>
      </c>
      <c r="E25" s="101">
        <v>258.89999999999998</v>
      </c>
      <c r="F25" s="99"/>
      <c r="G25" s="99"/>
      <c r="H25" s="99"/>
      <c r="I25" s="196"/>
      <c r="J25" s="196"/>
      <c r="K25" s="99"/>
      <c r="L25" s="100"/>
      <c r="Q25" s="96"/>
    </row>
    <row r="26" spans="1:17" x14ac:dyDescent="0.25">
      <c r="A26" s="97">
        <v>40</v>
      </c>
      <c r="B26" s="101">
        <v>244.4</v>
      </c>
      <c r="C26" s="99">
        <v>1676</v>
      </c>
      <c r="D26" s="97">
        <v>40</v>
      </c>
      <c r="E26" s="101">
        <v>238.7</v>
      </c>
      <c r="F26" s="99"/>
      <c r="G26" s="99"/>
      <c r="H26" s="99"/>
      <c r="I26" s="196"/>
      <c r="J26" s="196"/>
      <c r="K26" s="99"/>
      <c r="L26" s="100"/>
      <c r="Q26" s="96"/>
    </row>
    <row r="27" spans="1:17" x14ac:dyDescent="0.25">
      <c r="A27" s="97">
        <v>50</v>
      </c>
      <c r="B27" s="101">
        <v>235</v>
      </c>
      <c r="C27" s="99">
        <v>2095</v>
      </c>
      <c r="D27" s="97">
        <v>50</v>
      </c>
      <c r="E27" s="101">
        <v>228.3</v>
      </c>
      <c r="F27" s="99"/>
      <c r="G27" s="99"/>
      <c r="H27" s="99"/>
      <c r="I27" s="196"/>
      <c r="J27" s="196"/>
      <c r="K27" s="99"/>
      <c r="L27" s="100"/>
      <c r="Q27" s="96"/>
    </row>
    <row r="28" spans="1:17" x14ac:dyDescent="0.25">
      <c r="A28" s="97">
        <v>60</v>
      </c>
      <c r="B28" s="101">
        <v>225.5</v>
      </c>
      <c r="C28" s="99">
        <v>2514</v>
      </c>
      <c r="D28" s="97">
        <v>60</v>
      </c>
      <c r="E28" s="101">
        <v>223.5</v>
      </c>
      <c r="F28" s="99"/>
      <c r="G28" s="99"/>
      <c r="H28" s="99"/>
      <c r="I28" s="196"/>
      <c r="J28" s="196"/>
      <c r="K28" s="99"/>
      <c r="L28" s="100"/>
      <c r="Q28" s="96"/>
    </row>
    <row r="29" spans="1:17" x14ac:dyDescent="0.25">
      <c r="A29" s="97">
        <v>70</v>
      </c>
      <c r="B29" s="101">
        <v>221.9</v>
      </c>
      <c r="C29" s="99">
        <v>2933</v>
      </c>
      <c r="D29" s="97">
        <v>70</v>
      </c>
      <c r="E29" s="101">
        <v>217.1</v>
      </c>
      <c r="F29" s="99"/>
      <c r="G29" s="99"/>
      <c r="H29" s="99"/>
      <c r="I29" s="196"/>
      <c r="J29" s="196"/>
      <c r="K29" s="99"/>
      <c r="L29" s="100"/>
      <c r="Q29" s="96"/>
    </row>
    <row r="30" spans="1:17" x14ac:dyDescent="0.25">
      <c r="A30" s="97">
        <v>80</v>
      </c>
      <c r="B30" s="101">
        <v>219.8</v>
      </c>
      <c r="C30" s="99">
        <v>3352</v>
      </c>
      <c r="D30" s="97">
        <v>80</v>
      </c>
      <c r="E30" s="101">
        <v>216.7</v>
      </c>
      <c r="F30" s="99"/>
      <c r="G30" s="99"/>
      <c r="H30" s="99"/>
      <c r="I30" s="196"/>
      <c r="J30" s="196"/>
      <c r="K30" s="99"/>
      <c r="L30" s="100"/>
      <c r="Q30" s="96"/>
    </row>
    <row r="31" spans="1:17" ht="15.75" thickBot="1" x14ac:dyDescent="0.3">
      <c r="A31" s="97">
        <v>90</v>
      </c>
      <c r="B31" s="101">
        <v>221.6</v>
      </c>
      <c r="C31" s="99">
        <v>3771</v>
      </c>
      <c r="D31" s="97">
        <v>90</v>
      </c>
      <c r="E31" s="101">
        <v>218.8</v>
      </c>
      <c r="F31" s="99"/>
      <c r="G31" s="99"/>
      <c r="H31" s="99"/>
      <c r="I31" s="196"/>
      <c r="J31" s="196"/>
      <c r="K31" s="99"/>
      <c r="L31" s="100"/>
      <c r="Q31" s="96"/>
    </row>
    <row r="32" spans="1:17" ht="16.5" thickTop="1" thickBot="1" x14ac:dyDescent="0.3">
      <c r="A32" s="97">
        <v>100</v>
      </c>
      <c r="B32" s="98">
        <f>_xlfn.FORECAST.LINEAR(A32,B30:B31,A30:A31)</f>
        <v>223.39999999999998</v>
      </c>
      <c r="C32" s="99">
        <v>3771</v>
      </c>
      <c r="D32" s="97">
        <v>100</v>
      </c>
      <c r="E32" s="98">
        <f>_xlfn.FORECAST.LINEAR(D32,E30:E31,D30:D31)</f>
        <v>220.90000000000003</v>
      </c>
      <c r="F32" s="99"/>
      <c r="G32" s="99"/>
      <c r="H32" s="99"/>
      <c r="I32" s="196"/>
      <c r="J32" s="196"/>
      <c r="K32" s="99"/>
      <c r="L32" s="100"/>
      <c r="Q32" s="96"/>
    </row>
    <row r="33" spans="1:17" ht="15.75" thickTop="1" x14ac:dyDescent="0.25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Q33" s="96"/>
    </row>
    <row r="34" spans="1:17" x14ac:dyDescent="0.25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</row>
    <row r="35" spans="1:17" x14ac:dyDescent="0.2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</row>
    <row r="36" spans="1:17" x14ac:dyDescent="0.25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</row>
  </sheetData>
  <mergeCells count="20">
    <mergeCell ref="I27:J27"/>
    <mergeCell ref="I28:J28"/>
    <mergeCell ref="I29:J29"/>
    <mergeCell ref="I30:J30"/>
    <mergeCell ref="I32:J32"/>
    <mergeCell ref="I31:J31"/>
    <mergeCell ref="I25:J25"/>
    <mergeCell ref="I26:J26"/>
    <mergeCell ref="I22:J22"/>
    <mergeCell ref="I24:J24"/>
    <mergeCell ref="A4:B4"/>
    <mergeCell ref="D4:E4"/>
    <mergeCell ref="G4:H4"/>
    <mergeCell ref="J4:K4"/>
    <mergeCell ref="I17:J17"/>
    <mergeCell ref="A20:B20"/>
    <mergeCell ref="D20:E20"/>
    <mergeCell ref="I20:J20"/>
    <mergeCell ref="I21:J21"/>
    <mergeCell ref="I23:J23"/>
  </mergeCells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d43669-7551-4581-86fd-09184584bf0f">
      <Terms xmlns="http://schemas.microsoft.com/office/infopath/2007/PartnerControls"/>
    </lcf76f155ced4ddcb4097134ff3c332f>
    <TaxCatchAll xmlns="ad128804-1fb6-4cc7-ace9-03c7b354e7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8F75BD52FBAB4E92490577FD22D385" ma:contentTypeVersion="16" ma:contentTypeDescription="Opprett et nytt dokument." ma:contentTypeScope="" ma:versionID="8a7ac5adc70f523e746c8ba906954607">
  <xsd:schema xmlns:xsd="http://www.w3.org/2001/XMLSchema" xmlns:xs="http://www.w3.org/2001/XMLSchema" xmlns:p="http://schemas.microsoft.com/office/2006/metadata/properties" xmlns:ns2="46d43669-7551-4581-86fd-09184584bf0f" xmlns:ns3="ad128804-1fb6-4cc7-ace9-03c7b354e77a" targetNamespace="http://schemas.microsoft.com/office/2006/metadata/properties" ma:root="true" ma:fieldsID="93da6aceec2c8550b99a0c4a344ee5f9" ns2:_="" ns3:_="">
    <xsd:import namespace="46d43669-7551-4581-86fd-09184584bf0f"/>
    <xsd:import namespace="ad128804-1fb6-4cc7-ace9-03c7b354e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43669-7551-4581-86fd-09184584b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ildemerkelapper" ma:readOnly="false" ma:fieldId="{5cf76f15-5ced-4ddc-b409-7134ff3c332f}" ma:taxonomyMulti="true" ma:sspId="5d49da50-fb66-4e66-a6c1-6853afbb0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28804-1fb6-4cc7-ace9-03c7b354e77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c6ce66-0570-450e-b6c9-ec152ad3accd}" ma:internalName="TaxCatchAll" ma:showField="CatchAllData" ma:web="ad128804-1fb6-4cc7-ace9-03c7b354e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603A4-F5EA-42C0-9F95-DDE8A4ABA1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67403-E14A-44B7-BA30-86072B79CED3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ad128804-1fb6-4cc7-ace9-03c7b354e77a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46d43669-7551-4581-86fd-09184584bf0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AF9BBF1-81CA-4397-82D2-9634D6EC5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43669-7551-4581-86fd-09184584bf0f"/>
    <ds:schemaRef ds:uri="ad128804-1fb6-4cc7-ace9-03c7b354e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Optimal Setup</vt:lpstr>
      <vt:lpstr>Load Demands</vt:lpstr>
      <vt:lpstr>SFOC</vt:lpstr>
    </vt:vector>
  </TitlesOfParts>
  <Manager/>
  <Company>Kongsberg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Steffen Østensjø Kørte</dc:creator>
  <cp:keywords/>
  <dc:description/>
  <cp:lastModifiedBy>Krishna Kumar Nagalingam</cp:lastModifiedBy>
  <cp:revision/>
  <dcterms:created xsi:type="dcterms:W3CDTF">2023-06-20T10:05:39Z</dcterms:created>
  <dcterms:modified xsi:type="dcterms:W3CDTF">2025-09-05T09:14:29Z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0x0101002F8F75BD52FBAB4E92490577FD22D385</vt:lpwstr>
  </property>
</Properties>
</file>